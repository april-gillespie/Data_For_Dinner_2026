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8f1d0a0a8084c40" /></Relationships>
</file>

<file path=xl/workbook.xml><?xml version="1.0" encoding="utf-8"?>
<x:workbook xmlns:x="http://schemas.openxmlformats.org/spreadsheetml/2006/main">
  <x:sheets>
    <x:sheet xmlns:r="http://schemas.openxmlformats.org/officeDocument/2006/relationships" name="Summary" sheetId="1" r:id="Rd4722d6a4d984e03"/>
    <x:sheet xmlns:r="http://schemas.openxmlformats.org/officeDocument/2006/relationships" name="Team Story Guide" sheetId="2" r:id="R96a6436c203c4363"/>
    <x:sheet xmlns:r="http://schemas.openxmlformats.org/officeDocument/2006/relationships" name="Global" sheetId="3" r:id="R34ec57c069834b72"/>
    <x:sheet xmlns:r="http://schemas.openxmlformats.org/officeDocument/2006/relationships" name="US States" sheetId="4" r:id="R5896ec4baa6d48e0"/>
    <x:sheet xmlns:r="http://schemas.openxmlformats.org/officeDocument/2006/relationships" name="Retail by State" sheetId="5" r:id="R0a185956aeb74fac"/>
    <x:sheet xmlns:r="http://schemas.openxmlformats.org/officeDocument/2006/relationships" name="Southeast" sheetId="6" r:id="R7e58b729d6294e2b"/>
    <x:sheet xmlns:r="http://schemas.openxmlformats.org/officeDocument/2006/relationships" name="Alabama Counties" sheetId="7" r:id="R7b8c261f02a14e5f"/>
    <x:sheet xmlns:r="http://schemas.openxmlformats.org/officeDocument/2006/relationships" name="Alabama Tracts" sheetId="8" r:id="Re4ba2c4349a84986"/>
    <x:sheet xmlns:r="http://schemas.openxmlformats.org/officeDocument/2006/relationships" name="MMG AL Counties" sheetId="9" r:id="R5939ce2e66854b94"/>
    <x:sheet xmlns:r="http://schemas.openxmlformats.org/officeDocument/2006/relationships" name="MMG AL State" sheetId="10" r:id="Re9b849c537b1466f"/>
    <x:sheet xmlns:r="http://schemas.openxmlformats.org/officeDocument/2006/relationships" name="Sensitivity" sheetId="11" r:id="R8b323d7da068434f"/>
    <x:sheet xmlns:r="http://schemas.openxmlformats.org/officeDocument/2006/relationships" name="QA" sheetId="12" r:id="R443222614fb94097"/>
    <x:sheet xmlns:r="http://schemas.openxmlformats.org/officeDocument/2006/relationships" name="Assessment" sheetId="13" r:id="Rbf1b22854b0a4cad"/>
    <x:sheet xmlns:r="http://schemas.openxmlformats.org/officeDocument/2006/relationships" name="Variables" sheetId="14" r:id="Rbdfce386496f43fe"/>
    <x:sheet xmlns:r="http://schemas.openxmlformats.org/officeDocument/2006/relationships" name="Sources" sheetId="15" r:id="Rcaab642f5d244427"/>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
    <x:numFmt numFmtId="201" formatCode="#,##0"/>
    <x:numFmt numFmtId="202" formatCode="0"/>
    <x:numFmt numFmtId="203" formatCode="0.0"/>
    <x:numFmt numFmtId="204" formatCode="@"/>
    <x:numFmt numFmtId="205" formatCode="$0.00"/>
    <x:numFmt numFmtId="206" formatCode="$#,##0"/>
    <x:numFmt numFmtId="207" formatCode="yyyy-mm-dd hh:mm"/>
  </x:numFmts>
  <x:fonts count="6">
    <x:font>
      <x:sz val="11"/>
      <x:name val="Carlito"/>
    </x:font>
    <x:font>
      <x:b/>
      <x:sz val="18"/>
      <x:color rgb="FFFFFFFF"/>
      <x:name val="Carlito"/>
    </x:font>
    <x:font>
      <x:i/>
      <x:sz val="10"/>
      <x:color rgb="FF172B44"/>
      <x:name val="Carlito"/>
    </x:font>
    <x:font>
      <x:b/>
      <x:sz val="12"/>
      <x:color rgb="FFFFFFFF"/>
      <x:name val="Carlito"/>
    </x:font>
    <x:font>
      <x:b/>
      <x:sz val="11"/>
      <x:color rgb="FFFFFFFF"/>
      <x:name val="Carlito"/>
    </x:font>
    <x:font>
      <x:b/>
      <x:sz val="11"/>
      <x:color rgb="FF12304F"/>
      <x:name val="Carlito"/>
    </x:font>
  </x:fonts>
  <x:fills count="10">
    <x:fill>
      <x:patternFill patternType="none"/>
    </x:fill>
    <x:fill>
      <x:patternFill patternType="gray125"/>
    </x:fill>
    <x:fill>
      <x:patternFill patternType="solid">
        <x:fgColor rgb="FF12304F"/>
      </x:patternFill>
    </x:fill>
    <x:fill>
      <x:patternFill patternType="solid">
        <x:fgColor rgb="FFE9F2FA"/>
      </x:patternFill>
    </x:fill>
    <x:fill>
      <x:patternFill patternType="solid">
        <x:fgColor rgb="FF4C7A5B"/>
      </x:patternFill>
    </x:fill>
    <x:fill>
      <x:patternFill patternType="solid">
        <x:fgColor rgb="FF3A7EBB"/>
      </x:patternFill>
    </x:fill>
    <x:fill>
      <x:patternFill patternType="solid">
        <x:fgColor rgb="FFD89A2B"/>
      </x:patternFill>
    </x:fill>
    <x:fill>
      <x:patternFill patternType="solid">
        <x:fgColor rgb="FFFFF3D8"/>
      </x:patternFill>
    </x:fill>
    <x:fill>
      <x:patternFill patternType="solid">
        <x:fgColor rgb="FFA94B45"/>
      </x:patternFill>
    </x:fill>
    <x:fill>
      <x:patternFill patternType="solid">
        <x:fgColor rgb="FFF8E8E6"/>
      </x:patternFill>
    </x:fill>
  </x:fills>
  <x:borders count="34">
    <x:border/>
    <x:border>
      <x:left style="thin">
        <x:color rgb="FF12304F"/>
      </x:left>
      <x:top style="thin">
        <x:color rgb="FF12304F"/>
      </x:top>
      <x:bottom style="thin">
        <x:color rgb="FF12304F"/>
      </x:bottom>
    </x:border>
    <x:border>
      <x:right style="thin">
        <x:color rgb="FF12304F"/>
      </x:right>
      <x:top style="thin">
        <x:color rgb="FF12304F"/>
      </x:top>
      <x:bottom style="thin">
        <x:color rgb="FF12304F"/>
      </x:bottom>
    </x:border>
    <x:border>
      <x:right style="thin">
        <x:color rgb="FFD5DFE9"/>
      </x:right>
      <x:bottom style="thin">
        <x:color rgb="FFD5DFE9"/>
      </x:bottom>
    </x:border>
    <x:border>
      <x:left style="thin">
        <x:color rgb="FFD5DFE9"/>
      </x:left>
      <x:bottom style="thin">
        <x:color rgb="FFD5DFE9"/>
      </x:bottom>
    </x:border>
    <x:border>
      <x:right style="thin">
        <x:color rgb="FFD5DFE9"/>
      </x:right>
      <x:top style="thin">
        <x:color rgb="FFD5DFE9"/>
      </x:top>
      <x:bottom style="thin">
        <x:color rgb="FFD5DFE9"/>
      </x:bottom>
    </x:border>
    <x:border>
      <x:left style="thin">
        <x:color rgb="FFD5DFE9"/>
      </x:left>
      <x:top style="thin">
        <x:color rgb="FFD5DFE9"/>
      </x:top>
      <x:bottom style="thin">
        <x:color rgb="FFD5DFE9"/>
      </x:bottom>
    </x:border>
    <x:border>
      <x:right style="thin">
        <x:color rgb="FFD5DFE9"/>
      </x:right>
      <x:top style="thin">
        <x:color rgb="FFD5DFE9"/>
      </x:top>
    </x:border>
    <x:border>
      <x:left style="thin">
        <x:color rgb="FFD5DFE9"/>
      </x:left>
      <x:top style="thin">
        <x:color rgb="FFD5DFE9"/>
      </x:top>
    </x:border>
    <x:border>
      <x:left style="thin">
        <x:color rgb="FF3A7EBB"/>
      </x:left>
      <x:top style="thin">
        <x:color rgb="FF3A7EBB"/>
      </x:top>
    </x:border>
    <x:border>
      <x:top style="thin">
        <x:color rgb="FF3A7EBB"/>
      </x:top>
    </x:border>
    <x:border>
      <x:right style="thin">
        <x:color rgb="FF3A7EBB"/>
      </x:right>
      <x:top style="thin">
        <x:color rgb="FF3A7EBB"/>
      </x:top>
    </x:border>
    <x:border>
      <x:left style="thin">
        <x:color rgb="FF3A7EBB"/>
      </x:left>
    </x:border>
    <x:border>
      <x:right style="thin">
        <x:color rgb="FF3A7EBB"/>
      </x:right>
    </x:border>
    <x:border>
      <x:left style="thin">
        <x:color rgb="FF3A7EBB"/>
      </x:left>
      <x:bottom style="thin">
        <x:color rgb="FF3A7EBB"/>
      </x:bottom>
    </x:border>
    <x:border>
      <x:bottom style="thin">
        <x:color rgb="FF3A7EBB"/>
      </x:bottom>
    </x:border>
    <x:border>
      <x:right style="thin">
        <x:color rgb="FF3A7EBB"/>
      </x:right>
      <x:bottom style="thin">
        <x:color rgb="FF3A7EBB"/>
      </x:bottom>
    </x:border>
    <x:border>
      <x:left style="thin">
        <x:color rgb="FFD89A2B"/>
      </x:left>
      <x:top style="thin">
        <x:color rgb="FFD89A2B"/>
      </x:top>
    </x:border>
    <x:border>
      <x:top style="thin">
        <x:color rgb="FFD89A2B"/>
      </x:top>
    </x:border>
    <x:border>
      <x:right style="thin">
        <x:color rgb="FFD89A2B"/>
      </x:right>
      <x:top style="thin">
        <x:color rgb="FFD89A2B"/>
      </x:top>
    </x:border>
    <x:border>
      <x:left style="thin">
        <x:color rgb="FFD89A2B"/>
      </x:left>
    </x:border>
    <x:border>
      <x:right style="thin">
        <x:color rgb="FFD89A2B"/>
      </x:right>
    </x:border>
    <x:border>
      <x:left style="thin">
        <x:color rgb="FFD89A2B"/>
      </x:left>
      <x:bottom style="thin">
        <x:color rgb="FFD89A2B"/>
      </x:bottom>
    </x:border>
    <x:border>
      <x:bottom style="thin">
        <x:color rgb="FFD89A2B"/>
      </x:bottom>
    </x:border>
    <x:border>
      <x:right style="thin">
        <x:color rgb="FFD89A2B"/>
      </x:right>
      <x:bottom style="thin">
        <x:color rgb="FFD89A2B"/>
      </x:bottom>
    </x:border>
    <x:border>
      <x:left style="thin">
        <x:color rgb="FFA94B45"/>
      </x:left>
      <x:top style="thin">
        <x:color rgb="FFA94B45"/>
      </x:top>
    </x:border>
    <x:border>
      <x:top style="thin">
        <x:color rgb="FFA94B45"/>
      </x:top>
    </x:border>
    <x:border>
      <x:right style="thin">
        <x:color rgb="FFA94B45"/>
      </x:right>
      <x:top style="thin">
        <x:color rgb="FFA94B45"/>
      </x:top>
    </x:border>
    <x:border>
      <x:left style="thin">
        <x:color rgb="FFA94B45"/>
      </x:left>
    </x:border>
    <x:border>
      <x:right style="thin">
        <x:color rgb="FFA94B45"/>
      </x:right>
    </x:border>
    <x:border>
      <x:left style="thin">
        <x:color rgb="FFA94B45"/>
      </x:left>
      <x:bottom style="thin">
        <x:color rgb="FFA94B45"/>
      </x:bottom>
    </x:border>
    <x:border>
      <x:bottom style="thin">
        <x:color rgb="FFA94B45"/>
      </x:bottom>
    </x:border>
    <x:border>
      <x:right style="thin">
        <x:color rgb="FFA94B45"/>
      </x:right>
      <x:bottom style="thin">
        <x:color rgb="FFA94B45"/>
      </x:bottom>
    </x:border>
    <x:border>
      <x:top style="thin">
        <x:color rgb="FF12304F"/>
      </x:top>
      <x:bottom style="thin">
        <x:color rgb="FF12304F"/>
      </x:bottom>
    </x:border>
  </x:borders>
  <x:cellStyleXfs count="1">
    <x:xf numFmtId="0" fontId="0" fillId="0" borderId="0"/>
  </x:cellStyleXfs>
  <x:cellXfs count="14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0" fontId="0" fillId="0" borderId="3" xfId="0" applyNumberFormat="1" applyFont="1" applyFill="1" applyBorder="1"/>
    <x:xf numFmtId="200" fontId="0" fillId="0" borderId="4" xfId="0" applyNumberFormat="1" applyFont="1" applyFill="1" applyBorder="1"/>
    <x:xf numFmtId="0" fontId="0" fillId="0" borderId="5" xfId="0" applyNumberFormat="1" applyFont="1" applyFill="1" applyBorder="1"/>
    <x:xf numFmtId="200" fontId="0" fillId="0" borderId="6" xfId="0" applyNumberFormat="1" applyFont="1" applyFill="1" applyBorder="1"/>
    <x:xf numFmtId="201" fontId="0" fillId="0" borderId="6" xfId="0" applyNumberFormat="1" applyFont="1" applyFill="1" applyBorder="1"/>
    <x:xf numFmtId="202" fontId="0" fillId="0" borderId="6" xfId="0" applyNumberFormat="1" applyFont="1" applyFill="1" applyBorder="1"/>
    <x:xf numFmtId="0" fontId="0" fillId="0" borderId="7" xfId="0" applyNumberFormat="1" applyFont="1" applyFill="1" applyBorder="1"/>
    <x:xf numFmtId="202" fontId="0" fillId="0" borderId="8" xfId="0" applyNumberFormat="1" applyFont="1" applyFill="1" applyBorder="1"/>
    <x:xf numFmtId="200" fontId="5" fillId="0" borderId="4" xfId="0" applyNumberFormat="1" applyFont="1" applyFill="1" applyBorder="1"/>
    <x:xf numFmtId="200" fontId="5" fillId="0" borderId="6" xfId="0" applyNumberFormat="1" applyFont="1" applyFill="1" applyBorder="1"/>
    <x:xf numFmtId="201" fontId="5" fillId="0" borderId="6" xfId="0" applyNumberFormat="1" applyFont="1" applyFill="1" applyBorder="1"/>
    <x:xf numFmtId="202" fontId="5" fillId="0" borderId="6" xfId="0" applyNumberFormat="1" applyFont="1" applyFill="1" applyBorder="1"/>
    <x:xf numFmtId="202" fontId="5" fillId="0" borderId="8" xfId="0" applyNumberFormat="1" applyFont="1" applyFill="1" applyBorder="1"/>
    <x:xf numFmtId="0" fontId="0" fillId="3" borderId="9" xfId="0" applyNumberFormat="1" applyFont="1" applyFill="1" applyBorder="1"/>
    <x:xf numFmtId="0" fontId="0" fillId="3" borderId="10" xfId="0" applyNumberFormat="1" applyFont="1" applyFill="1" applyBorder="1"/>
    <x:xf numFmtId="0" fontId="0" fillId="3" borderId="11" xfId="0" applyNumberFormat="1" applyFont="1" applyFill="1" applyBorder="1"/>
    <x:xf numFmtId="0" fontId="0" fillId="3" borderId="12" xfId="0" applyNumberFormat="1" applyFont="1" applyFill="1" applyBorder="1"/>
    <x:xf numFmtId="0" fontId="0" fillId="3" borderId="13" xfId="0" applyNumberFormat="1" applyFont="1" applyFill="1" applyBorder="1"/>
    <x:xf numFmtId="0" fontId="0" fillId="3" borderId="14" xfId="0" applyNumberFormat="1" applyFont="1" applyFill="1" applyBorder="1"/>
    <x:xf numFmtId="0" fontId="0" fillId="3" borderId="15" xfId="0" applyNumberFormat="1" applyFont="1" applyFill="1" applyBorder="1"/>
    <x:xf numFmtId="0" fontId="0" fillId="3" borderId="16" xfId="0" applyNumberFormat="1" applyFont="1" applyFill="1" applyBorder="1"/>
    <x:xf numFmtId="0" fontId="0" fillId="3" borderId="9" xfId="0" applyNumberFormat="1" applyFont="1" applyFill="1" applyBorder="1" applyAlignment="1">
      <x:alignment wrapText="1"/>
    </x:xf>
    <x:xf numFmtId="0" fontId="0" fillId="3" borderId="10" xfId="0" applyNumberFormat="1" applyFont="1" applyFill="1" applyBorder="1" applyAlignment="1">
      <x:alignment wrapText="1"/>
    </x:xf>
    <x:xf numFmtId="0" fontId="0" fillId="3" borderId="11" xfId="0" applyNumberFormat="1" applyFont="1" applyFill="1" applyBorder="1" applyAlignment="1">
      <x:alignment wrapText="1"/>
    </x:xf>
    <x:xf numFmtId="0" fontId="0" fillId="3" borderId="12"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3" xfId="0" applyNumberFormat="1" applyFont="1" applyFill="1" applyBorder="1" applyAlignment="1">
      <x:alignment wrapText="1"/>
    </x:xf>
    <x:xf numFmtId="0" fontId="0" fillId="3" borderId="14" xfId="0" applyNumberFormat="1" applyFont="1" applyFill="1" applyBorder="1" applyAlignment="1">
      <x:alignment wrapText="1"/>
    </x:xf>
    <x:xf numFmtId="0" fontId="0" fillId="3" borderId="15" xfId="0" applyNumberFormat="1" applyFont="1" applyFill="1" applyBorder="1" applyAlignment="1">
      <x:alignment wrapText="1"/>
    </x:xf>
    <x:xf numFmtId="0" fontId="0" fillId="3" borderId="16" xfId="0" applyNumberFormat="1" applyFont="1" applyFill="1" applyBorder="1" applyAlignment="1">
      <x:alignment wrapText="1"/>
    </x:xf>
    <x:xf numFmtId="0" fontId="0" fillId="3" borderId="9" xfId="0" applyNumberFormat="1" applyFont="1" applyFill="1" applyBorder="1" applyAlignment="1">
      <x:alignment vertical="top" wrapText="1"/>
    </x:xf>
    <x:xf numFmtId="0" fontId="0" fillId="3" borderId="10" xfId="0" applyNumberFormat="1" applyFont="1" applyFill="1" applyBorder="1" applyAlignment="1">
      <x:alignment vertical="top" wrapText="1"/>
    </x:xf>
    <x:xf numFmtId="0" fontId="0" fillId="3" borderId="11" xfId="0" applyNumberFormat="1" applyFont="1" applyFill="1" applyBorder="1" applyAlignment="1">
      <x:alignment vertical="top" wrapText="1"/>
    </x:xf>
    <x:xf numFmtId="0" fontId="0" fillId="3" borderId="12"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3" xfId="0" applyNumberFormat="1" applyFont="1" applyFill="1" applyBorder="1" applyAlignment="1">
      <x:alignment vertical="top" wrapText="1"/>
    </x:xf>
    <x:xf numFmtId="0" fontId="0" fillId="3" borderId="14" xfId="0" applyNumberFormat="1" applyFont="1" applyFill="1" applyBorder="1" applyAlignment="1">
      <x:alignment vertical="top" wrapText="1"/>
    </x:xf>
    <x:xf numFmtId="0" fontId="0" fillId="3" borderId="15" xfId="0" applyNumberFormat="1" applyFont="1" applyFill="1" applyBorder="1" applyAlignment="1">
      <x:alignment vertical="top" wrapText="1"/>
    </x:xf>
    <x:xf numFmtId="0" fontId="0" fillId="3" borderId="16"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0" fillId="7" borderId="0" xfId="0" applyNumberFormat="1" applyFont="1" applyFill="1" applyBorder="1"/>
    <x:xf numFmtId="0" fontId="0" fillId="7" borderId="17" xfId="0" applyNumberFormat="1" applyFont="1" applyFill="1" applyBorder="1"/>
    <x:xf numFmtId="0" fontId="0" fillId="7" borderId="18" xfId="0" applyNumberFormat="1" applyFont="1" applyFill="1" applyBorder="1"/>
    <x:xf numFmtId="0" fontId="0" fillId="7" borderId="19" xfId="0" applyNumberFormat="1" applyFont="1" applyFill="1" applyBorder="1"/>
    <x:xf numFmtId="0" fontId="0" fillId="7" borderId="20" xfId="0" applyNumberFormat="1" applyFont="1" applyFill="1" applyBorder="1"/>
    <x:xf numFmtId="0" fontId="0" fillId="7" borderId="21" xfId="0" applyNumberFormat="1" applyFont="1" applyFill="1" applyBorder="1"/>
    <x:xf numFmtId="0" fontId="0" fillId="7" borderId="22" xfId="0" applyNumberFormat="1" applyFont="1" applyFill="1" applyBorder="1"/>
    <x:xf numFmtId="0" fontId="0" fillId="7" borderId="23" xfId="0" applyNumberFormat="1" applyFont="1" applyFill="1" applyBorder="1"/>
    <x:xf numFmtId="0" fontId="0" fillId="7" borderId="24" xfId="0" applyNumberFormat="1" applyFont="1" applyFill="1" applyBorder="1"/>
    <x:xf numFmtId="0" fontId="0" fillId="7" borderId="17" xfId="0" applyNumberFormat="1" applyFont="1" applyFill="1" applyBorder="1" applyAlignment="1">
      <x:alignment wrapText="1"/>
    </x:xf>
    <x:xf numFmtId="0" fontId="0" fillId="7" borderId="18" xfId="0" applyNumberFormat="1" applyFont="1" applyFill="1" applyBorder="1" applyAlignment="1">
      <x:alignment wrapText="1"/>
    </x:xf>
    <x:xf numFmtId="0" fontId="0" fillId="7" borderId="19" xfId="0" applyNumberFormat="1" applyFont="1" applyFill="1" applyBorder="1" applyAlignment="1">
      <x:alignment wrapText="1"/>
    </x:xf>
    <x:xf numFmtId="0" fontId="0" fillId="7" borderId="20"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21" xfId="0" applyNumberFormat="1" applyFont="1" applyFill="1" applyBorder="1" applyAlignment="1">
      <x:alignment wrapText="1"/>
    </x:xf>
    <x:xf numFmtId="0" fontId="0" fillId="7" borderId="22" xfId="0" applyNumberFormat="1" applyFont="1" applyFill="1" applyBorder="1" applyAlignment="1">
      <x:alignment wrapText="1"/>
    </x:xf>
    <x:xf numFmtId="0" fontId="0" fillId="7" borderId="23" xfId="0" applyNumberFormat="1" applyFont="1" applyFill="1" applyBorder="1" applyAlignment="1">
      <x:alignment wrapText="1"/>
    </x:xf>
    <x:xf numFmtId="0" fontId="0" fillId="7" borderId="24" xfId="0" applyNumberFormat="1" applyFont="1" applyFill="1" applyBorder="1" applyAlignment="1">
      <x:alignment wrapText="1"/>
    </x:xf>
    <x:xf numFmtId="0" fontId="0" fillId="7" borderId="17" xfId="0" applyNumberFormat="1" applyFont="1" applyFill="1" applyBorder="1" applyAlignment="1">
      <x:alignment vertical="top" wrapText="1"/>
    </x:xf>
    <x:xf numFmtId="0" fontId="0" fillId="7" borderId="18" xfId="0" applyNumberFormat="1" applyFont="1" applyFill="1" applyBorder="1" applyAlignment="1">
      <x:alignment vertical="top" wrapText="1"/>
    </x:xf>
    <x:xf numFmtId="0" fontId="0" fillId="7" borderId="19" xfId="0" applyNumberFormat="1" applyFont="1" applyFill="1" applyBorder="1" applyAlignment="1">
      <x:alignment vertical="top" wrapText="1"/>
    </x:xf>
    <x:xf numFmtId="0" fontId="0" fillId="7" borderId="2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21" xfId="0" applyNumberFormat="1" applyFont="1" applyFill="1" applyBorder="1" applyAlignment="1">
      <x:alignment vertical="top" wrapText="1"/>
    </x:xf>
    <x:xf numFmtId="0" fontId="0" fillId="7" borderId="22" xfId="0" applyNumberFormat="1" applyFont="1" applyFill="1" applyBorder="1" applyAlignment="1">
      <x:alignment vertical="top" wrapText="1"/>
    </x:xf>
    <x:xf numFmtId="0" fontId="0" fillId="7" borderId="23" xfId="0" applyNumberFormat="1" applyFont="1" applyFill="1" applyBorder="1" applyAlignment="1">
      <x:alignment vertical="top" wrapText="1"/>
    </x:xf>
    <x:xf numFmtId="0" fontId="0" fillId="7" borderId="24" xfId="0" applyNumberFormat="1" applyFont="1" applyFill="1" applyBorder="1" applyAlignment="1">
      <x:alignment vertical="top" wrapText="1"/>
    </x:xf>
    <x:xf numFmtId="0" fontId="0" fillId="8" borderId="0" xfId="0" applyNumberFormat="1" applyFont="1" applyFill="1" applyBorder="1"/>
    <x:xf numFmtId="0" fontId="4" fillId="8" borderId="0" xfId="0" applyNumberFormat="1" applyFont="1" applyFill="1" applyBorder="1"/>
    <x:xf numFmtId="0" fontId="0" fillId="9" borderId="0" xfId="0" applyNumberFormat="1" applyFont="1" applyFill="1" applyBorder="1"/>
    <x:xf numFmtId="0" fontId="0" fillId="9" borderId="25" xfId="0" applyNumberFormat="1" applyFont="1" applyFill="1" applyBorder="1"/>
    <x:xf numFmtId="0" fontId="0" fillId="9" borderId="26" xfId="0" applyNumberFormat="1" applyFont="1" applyFill="1" applyBorder="1"/>
    <x:xf numFmtId="0" fontId="0" fillId="9" borderId="27" xfId="0" applyNumberFormat="1" applyFont="1" applyFill="1" applyBorder="1"/>
    <x:xf numFmtId="0" fontId="0" fillId="9" borderId="28" xfId="0" applyNumberFormat="1" applyFont="1" applyFill="1" applyBorder="1"/>
    <x:xf numFmtId="0" fontId="0" fillId="9" borderId="29" xfId="0" applyNumberFormat="1" applyFont="1" applyFill="1" applyBorder="1"/>
    <x:xf numFmtId="0" fontId="0" fillId="9" borderId="30" xfId="0" applyNumberFormat="1" applyFont="1" applyFill="1" applyBorder="1"/>
    <x:xf numFmtId="0" fontId="0" fillId="9" borderId="31" xfId="0" applyNumberFormat="1" applyFont="1" applyFill="1" applyBorder="1"/>
    <x:xf numFmtId="0" fontId="0" fillId="9" borderId="32" xfId="0" applyNumberFormat="1" applyFont="1" applyFill="1" applyBorder="1"/>
    <x:xf numFmtId="0" fontId="0" fillId="9" borderId="25" xfId="0" applyNumberFormat="1" applyFont="1" applyFill="1" applyBorder="1" applyAlignment="1">
      <x:alignment wrapText="1"/>
    </x:xf>
    <x:xf numFmtId="0" fontId="0" fillId="9" borderId="26" xfId="0" applyNumberFormat="1" applyFont="1" applyFill="1" applyBorder="1" applyAlignment="1">
      <x:alignment wrapText="1"/>
    </x:xf>
    <x:xf numFmtId="0" fontId="0" fillId="9" borderId="27" xfId="0" applyNumberFormat="1" applyFont="1" applyFill="1" applyBorder="1" applyAlignment="1">
      <x:alignment wrapText="1"/>
    </x:xf>
    <x:xf numFmtId="0" fontId="0" fillId="9" borderId="28" xfId="0" applyNumberFormat="1" applyFont="1" applyFill="1" applyBorder="1" applyAlignment="1">
      <x:alignment wrapText="1"/>
    </x:xf>
    <x:xf numFmtId="0" fontId="0" fillId="9" borderId="0" xfId="0" applyNumberFormat="1" applyFont="1" applyFill="1" applyBorder="1" applyAlignment="1">
      <x:alignment wrapText="1"/>
    </x:xf>
    <x:xf numFmtId="0" fontId="0" fillId="9" borderId="29" xfId="0" applyNumberFormat="1" applyFont="1" applyFill="1" applyBorder="1" applyAlignment="1">
      <x:alignment wrapText="1"/>
    </x:xf>
    <x:xf numFmtId="0" fontId="0" fillId="9" borderId="30" xfId="0" applyNumberFormat="1" applyFont="1" applyFill="1" applyBorder="1" applyAlignment="1">
      <x:alignment wrapText="1"/>
    </x:xf>
    <x:xf numFmtId="0" fontId="0" fillId="9" borderId="31" xfId="0" applyNumberFormat="1" applyFont="1" applyFill="1" applyBorder="1" applyAlignment="1">
      <x:alignment wrapText="1"/>
    </x:xf>
    <x:xf numFmtId="0" fontId="0" fillId="9" borderId="32" xfId="0" applyNumberFormat="1" applyFont="1" applyFill="1" applyBorder="1" applyAlignment="1">
      <x:alignment wrapText="1"/>
    </x:xf>
    <x:xf numFmtId="0" fontId="0" fillId="9" borderId="25" xfId="0" applyNumberFormat="1" applyFont="1" applyFill="1" applyBorder="1" applyAlignment="1">
      <x:alignment vertical="top" wrapText="1"/>
    </x:xf>
    <x:xf numFmtId="0" fontId="0" fillId="9" borderId="26" xfId="0" applyNumberFormat="1" applyFont="1" applyFill="1" applyBorder="1" applyAlignment="1">
      <x:alignment vertical="top" wrapText="1"/>
    </x:xf>
    <x:xf numFmtId="0" fontId="0" fillId="9" borderId="27" xfId="0" applyNumberFormat="1" applyFont="1" applyFill="1" applyBorder="1" applyAlignment="1">
      <x:alignment vertical="top" wrapText="1"/>
    </x:xf>
    <x:xf numFmtId="0" fontId="0" fillId="9" borderId="28"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0" fillId="9" borderId="29" xfId="0" applyNumberFormat="1" applyFont="1" applyFill="1" applyBorder="1" applyAlignment="1">
      <x:alignment vertical="top" wrapText="1"/>
    </x:xf>
    <x:xf numFmtId="0" fontId="0" fillId="9" borderId="30" xfId="0" applyNumberFormat="1" applyFont="1" applyFill="1" applyBorder="1" applyAlignment="1">
      <x:alignment vertical="top" wrapText="1"/>
    </x:xf>
    <x:xf numFmtId="0" fontId="0" fillId="9" borderId="31" xfId="0" applyNumberFormat="1" applyFont="1" applyFill="1" applyBorder="1" applyAlignment="1">
      <x:alignment vertical="top" wrapText="1"/>
    </x:xf>
    <x:xf numFmtId="0" fontId="0" fillId="9" borderId="32" xfId="0" applyNumberFormat="1" applyFont="1" applyFill="1" applyBorder="1" applyAlignment="1">
      <x:alignment vertical="top"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3" xfId="0" applyNumberFormat="1" applyFont="1" applyFill="1" applyBorder="1" applyAlignment="1">
      <x:alignment wrapText="1"/>
    </x:xf>
    <x:xf numFmtId="0" fontId="0" fillId="0" borderId="4" xfId="0" applyNumberFormat="1" applyFont="1" applyFill="1" applyBorder="1"/>
    <x:xf numFmtId="0" fontId="5" fillId="3" borderId="5" xfId="0" applyNumberFormat="1" applyFont="1" applyFill="1" applyBorder="1" applyAlignment="1">
      <x:alignment wrapText="1"/>
    </x:xf>
    <x:xf numFmtId="0" fontId="0" fillId="0" borderId="6" xfId="0" applyNumberFormat="1" applyFont="1" applyFill="1" applyBorder="1"/>
    <x:xf numFmtId="0" fontId="5" fillId="3" borderId="7" xfId="0" applyNumberFormat="1" applyFont="1" applyFill="1" applyBorder="1" applyAlignment="1">
      <x:alignment wrapText="1"/>
    </x:xf>
    <x:xf numFmtId="0" fontId="0" fillId="0" borderId="8" xfId="0" applyNumberFormat="1" applyFont="1" applyFill="1" applyBorder="1"/>
    <x:xf numFmtId="0" fontId="0" fillId="0" borderId="4"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8" xfId="0" applyNumberFormat="1" applyFont="1" applyFill="1" applyBorder="1" applyAlignment="1">
      <x:alignment wrapText="1"/>
    </x:xf>
    <x:xf numFmtId="0" fontId="4" fillId="5" borderId="33" xfId="0" applyNumberFormat="1" applyFont="1" applyFill="1" applyBorder="1"/>
    <x:xf numFmtId="0" fontId="4" fillId="5" borderId="33" xfId="0" applyNumberFormat="1" applyFont="1" applyFill="1" applyBorder="1" applyAlignment="1">
      <x:alignment wrapText="1"/>
    </x:xf>
    <x:xf numFmtId="0" fontId="4" fillId="5" borderId="33" xfId="0" applyNumberFormat="1" applyFont="1" applyFill="1" applyBorder="1" applyAlignment="1">
      <x:alignment vertical="center" wrapText="1"/>
    </x:xf>
    <x:xf numFmtId="0" fontId="0" fillId="0" borderId="0" xfId="0" applyNumberFormat="1" applyFont="1" applyFill="1" applyBorder="1" applyAlignment="1">
      <x:alignment vertical="top"/>
    </x:xf>
    <x:xf numFmtId="203"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204" fontId="0" fillId="0" borderId="0"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x:xf>
    <x:xf numFmtId="205" fontId="0" fillId="0" borderId="0" xfId="0" applyNumberFormat="1" applyFont="1" applyFill="1" applyBorder="1" applyAlignment="1">
      <x:alignment vertical="top"/>
    </x:xf>
    <x:xf numFmtId="206"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7"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dxfs count="5">
    <x:dxf>
      <x:font>
        <x:b/>
        <x:color rgb="FF12304F"/>
      </x:font>
      <x:fill>
        <x:patternFill patternType="solid">
          <x:bgColor rgb="FFDCEBFA"/>
        </x:patternFill>
      </x:fill>
    </x:dxf>
    <x:dxf>
      <x:font>
        <x:b/>
        <x:color rgb="FF4C7A5B"/>
      </x:font>
      <x:fill>
        <x:patternFill patternType="solid">
          <x:bgColor rgb="FFEAF3EC"/>
        </x:patternFill>
      </x:fill>
    </x:dxf>
    <x:dxf>
      <x:font>
        <x:b/>
        <x:color rgb="FF4C7A5B"/>
      </x:font>
      <x:fill>
        <x:patternFill patternType="solid">
          <x:bgColor rgb="FFEAF3EC"/>
        </x:patternFill>
      </x:fill>
    </x:dxf>
    <x:dxf>
      <x:font>
        <x:b/>
        <x:color rgb="FFD89A2B"/>
      </x:font>
      <x:fill>
        <x:patternFill patternType="solid">
          <x:bgColor rgb="FFFFF3D8"/>
        </x:patternFill>
      </x:fill>
    </x:dxf>
    <x:dxf>
      <x:font>
        <x:b/>
        <x:color rgb="FFA94B45"/>
      </x:font>
      <x:fill>
        <x:patternFill patternType="solid">
          <x:bgColor rgb="FFF8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6267025f5b14280" /><Relationship Type="http://schemas.openxmlformats.org/officeDocument/2006/relationships/theme" Target="/xl/theme/theme1.xml" Id="R14cbd519faa34a3d" /><Relationship Type="http://schemas.microsoft.com/office/2022/11/relationships/FeaturePropertyBag" Target="/xl/featurePropertyBag/featurePropertyBag.xml" Id="Rb504e503937d4f0a" /><Relationship Type="http://schemas.openxmlformats.org/officeDocument/2006/relationships/sharedStrings" Target="/xl/sharedStrings.xml" Id="R23ab2cc8c5124ab0" /><Relationship Type="http://schemas.openxmlformats.org/officeDocument/2006/relationships/worksheet" Target="/xl/worksheets/sheet1.xml" Id="Rd4722d6a4d984e03" /><Relationship Type="http://schemas.openxmlformats.org/officeDocument/2006/relationships/worksheet" Target="/xl/worksheets/sheet2.xml" Id="R96a6436c203c4363" /><Relationship Type="http://schemas.openxmlformats.org/officeDocument/2006/relationships/worksheet" Target="/xl/worksheets/sheet3.xml" Id="R34ec57c069834b72" /><Relationship Type="http://schemas.openxmlformats.org/officeDocument/2006/relationships/worksheet" Target="/xl/worksheets/sheet4.xml" Id="R5896ec4baa6d48e0" /><Relationship Type="http://schemas.openxmlformats.org/officeDocument/2006/relationships/worksheet" Target="/xl/worksheets/sheet5.xml" Id="R0a185956aeb74fac" /><Relationship Type="http://schemas.openxmlformats.org/officeDocument/2006/relationships/worksheet" Target="/xl/worksheets/sheet6.xml" Id="R7e58b729d6294e2b" /><Relationship Type="http://schemas.openxmlformats.org/officeDocument/2006/relationships/worksheet" Target="/xl/worksheets/sheet7.xml" Id="R7b8c261f02a14e5f" /><Relationship Type="http://schemas.openxmlformats.org/officeDocument/2006/relationships/worksheet" Target="/xl/worksheets/sheet8.xml" Id="Re4ba2c4349a84986" /><Relationship Type="http://schemas.openxmlformats.org/officeDocument/2006/relationships/worksheet" Target="/xl/worksheets/sheet9.xml" Id="R5939ce2e66854b94" /><Relationship Type="http://schemas.openxmlformats.org/officeDocument/2006/relationships/worksheet" Target="/xl/worksheets/sheet10.xml" Id="Re9b849c537b1466f" /><Relationship Type="http://schemas.openxmlformats.org/officeDocument/2006/relationships/worksheet" Target="/xl/worksheets/sheet11.xml" Id="R8b323d7da068434f" /><Relationship Type="http://schemas.openxmlformats.org/officeDocument/2006/relationships/worksheet" Target="/xl/worksheets/sheet12.xml" Id="R443222614fb94097" /><Relationship Type="http://schemas.openxmlformats.org/officeDocument/2006/relationships/worksheet" Target="/xl/worksheets/sheet13.xml" Id="Rbf1b22854b0a4cad" /><Relationship Type="http://schemas.openxmlformats.org/officeDocument/2006/relationships/worksheet" Target="/xl/worksheets/sheet14.xml" Id="Rbdfce386496f43fe" /><Relationship Type="http://schemas.openxmlformats.org/officeDocument/2006/relationships/worksheet" Target="/xl/worksheets/sheet15.xml" Id="Rcaab642f5d24442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GlobalIndicators" displayName="GlobalIndicators" ref="A4:I39" headerRowCount="1" totalsRowCount="0" totalsRowShown="0">
  <x:autoFilter ref="A4:I39"/>
  <x:tableColumns count="9">
    <x:tableColumn id="1" name="geography"/>
    <x:tableColumn id="2" name="indicator"/>
    <x:tableColumn id="3" name="period"/>
    <x:tableColumn id="4" name="unit"/>
    <x:tableColumn id="5" name="display_value"/>
    <x:tableColumn id="6" name="value"/>
    <x:tableColumn id="7" name="lower_bound"/>
    <x:tableColumn id="8" name="upper_bound"/>
    <x:tableColumn id="9" name="source_id"/>
  </x:tableColumns>
  <x:tableStyleInfo name="TableStyleMedium2" showFirstColumn="0" showLastColumn="0" showRowStripes="1" showColumnStripes="0"/>
</x:table>
</file>

<file path=xl/tables/table2.xml><?xml version="1.0" encoding="utf-8"?>
<x:table xmlns:x="http://schemas.openxmlformats.org/spreadsheetml/2006/main" id="2" name="USStateFoodSecurity" displayName="USStateFoodSecurity" ref="A4:F56" headerRowCount="1" totalsRowCount="0" totalsRowShown="0">
  <x:autoFilter ref="A4:F56"/>
  <x:tableColumns count="6">
    <x:tableColumn id="1" name="period"/>
    <x:tableColumn id="2" name="state_abbr"/>
    <x:tableColumn id="3" name="food_insecurity_pct"/>
    <x:tableColumn id="4" name="food_insecurity_moe_pp"/>
    <x:tableColumn id="5" name="very_low_food_security_pct"/>
    <x:tableColumn id="6" name="very_low_food_security_moe_pp"/>
  </x:tableColumns>
  <x:tableStyleInfo name="TableStyleMedium2" showFirstColumn="0" showLastColumn="0" showRowStripes="1" showColumnStripes="0"/>
</x:table>
</file>

<file path=xl/tables/table3.xml><?xml version="1.0" encoding="utf-8"?>
<x:table xmlns:x="http://schemas.openxmlformats.org/spreadsheetml/2006/main" id="3" name="RetailStateSummary" displayName="RetailStateSummary" ref="A4:K55" headerRowCount="1" totalsRowCount="0" totalsRowShown="0">
  <x:autoFilter ref="A4:K55"/>
  <x:tableColumns count="11">
    <x:tableColumn id="1" name="state"/>
    <x:tableColumn id="2" name="state_abbr"/>
    <x:tableColumn id="3" name="tract_count"/>
    <x:tableColumn id="4" name="population"/>
    <x:tableColumn id="5" name="low_income_population"/>
    <x:tableColumn id="6" name="low_access_population"/>
    <x:tableColumn id="7" name="low_access_population_pct"/>
    <x:tableColumn id="8" name="low_income_low_access_population"/>
    <x:tableColumn id="9" name="low_income_low_access_population_pct"/>
    <x:tableColumn id="10" name="lila_tract_count"/>
    <x:tableColumn id="11" name="lila_tract_pct"/>
  </x:tableColumns>
  <x:tableStyleInfo name="TableStyleMedium2" showFirstColumn="0" showLastColumn="0" showRowStripes="1" showColumnStripes="0"/>
</x:table>
</file>

<file path=xl/tables/table4.xml><?xml version="1.0" encoding="utf-8"?>
<x:table xmlns:x="http://schemas.openxmlformats.org/spreadsheetml/2006/main" id="4" name="SoutheastComparison" displayName="SoutheastComparison" ref="A4:N14" headerRowCount="1" totalsRowCount="0" totalsRowShown="0">
  <x:autoFilter ref="A4:N14"/>
  <x:tableColumns count="14">
    <x:tableColumn id="1" name="state"/>
    <x:tableColumn id="2" name="state_abbr"/>
    <x:tableColumn id="3" name="food_insecurity_pct"/>
    <x:tableColumn id="4" name="food_insecurity_moe_pp"/>
    <x:tableColumn id="5" name="very_low_food_security_pct"/>
    <x:tableColumn id="6" name="low_access_population_pct"/>
    <x:tableColumn id="7" name="low_income_low_access_population_pct"/>
    <x:tableColumn id="8" name="lila_tract_pct"/>
    <x:tableColumn id="9" name="low_access_children_pct"/>
    <x:tableColumn id="10" name="low_access_seniors_pct"/>
    <x:tableColumn id="11" name="low_access_no_vehicle_housing_units_pct"/>
    <x:tableColumn id="12" name="low_access_snap_housing_units_pct"/>
    <x:tableColumn id="13" name="food_insecurity_rank_high_to_low"/>
    <x:tableColumn id="14" name="low_income_low_access_rank_high_to_low"/>
  </x:tableColumns>
  <x:tableStyleInfo name="TableStyleMedium2" showFirstColumn="0" showLastColumn="0" showRowStripes="1" showColumnStripes="0"/>
</x:table>
</file>

<file path=xl/tables/table5.xml><?xml version="1.0" encoding="utf-8"?>
<x:table xmlns:x="http://schemas.openxmlformats.org/spreadsheetml/2006/main" id="5" name="AlabamaCounties" displayName="AlabamaCounties" ref="A4:P71" headerRowCount="1" totalsRowCount="0" totalsRowShown="0">
  <x:autoFilter ref="A4:P71"/>
  <x:tableColumns count="16">
    <x:tableColumn id="1" name="county"/>
    <x:tableColumn id="2" name="tract_count"/>
    <x:tableColumn id="3" name="population"/>
    <x:tableColumn id="4" name="low_income_population"/>
    <x:tableColumn id="5" name="low_access_population"/>
    <x:tableColumn id="6" name="low_access_population_pct"/>
    <x:tableColumn id="7" name="low_income_low_access_population"/>
    <x:tableColumn id="8" name="low_income_low_access_population_pct"/>
    <x:tableColumn id="9" name="lila_tract_count"/>
    <x:tableColumn id="10" name="lila_tract_pct"/>
    <x:tableColumn id="11" name="low_access_children_pct"/>
    <x:tableColumn id="12" name="low_access_seniors_pct"/>
    <x:tableColumn id="13" name="low_access_no_vehicle_housing_units_pct"/>
    <x:tableColumn id="14" name="low_access_snap_housing_units_pct"/>
    <x:tableColumn id="15" name="rank_by_affected_low_income_count"/>
    <x:tableColumn id="16" name="rank_by_low_income_low_access_pct"/>
  </x:tableColumns>
  <x:tableStyleInfo name="TableStyleMedium2" showFirstColumn="0" showLastColumn="0" showRowStripes="1" showColumnStripes="0"/>
</x:table>
</file>

<file path=xl/tables/table6.xml><?xml version="1.0" encoding="utf-8"?>
<x:table xmlns:x="http://schemas.openxmlformats.org/spreadsheetml/2006/main" id="6" name="AlabamaTracts" displayName="AlabamaTracts" ref="A4:P1440" headerRowCount="1" totalsRowCount="0" totalsRowShown="0">
  <x:autoFilter ref="A4:P1440"/>
  <x:tableColumns count="16">
    <x:tableColumn id="1" name="GEOID20"/>
    <x:tableColumn id="2" name="County24"/>
    <x:tableColumn id="3" name="Urban"/>
    <x:tableColumn id="4" name="POP2020"/>
    <x:tableColumn id="5" name="PovertyRate"/>
    <x:tableColumn id="6" name="TractLOWI"/>
    <x:tableColumn id="7" name="DD_SRAM_LILATracts_1And10"/>
    <x:tableColumn id="8" name="DD_SRAM_LAPOP1_10"/>
    <x:tableColumn id="9" name="DD_SRAM_LALOWI1_10"/>
    <x:tableColumn id="10" name="low_access_population_pct"/>
    <x:tableColumn id="11" name="low_income_low_access_population_pct"/>
    <x:tableColumn id="12" name="low_access_children_pct"/>
    <x:tableColumn id="13" name="low_access_seniors_pct"/>
    <x:tableColumn id="14" name="low_access_no_vehicle_housing_units_pct"/>
    <x:tableColumn id="15" name="low_access_snap_housing_units_pct"/>
    <x:tableColumn id="16" name="priority_rank_by_affected_low_income_count"/>
  </x:tableColumns>
  <x:tableStyleInfo name="TableStyleMedium2" showFirstColumn="0" showLastColumn="0" showRowStripes="1" showColumnStripes="0"/>
</x:table>
</file>

<file path=xl/tables/table7.xml><?xml version="1.0" encoding="utf-8"?>
<x:table xmlns:x="http://schemas.openxmlformats.org/spreadsheetml/2006/main" id="7" name="MMGAlabamaCounties" displayName="MMGAlabamaCounties" ref="A4:P71" headerRowCount="1" totalsRowCount="0" totalsRowShown="0">
  <x:autoFilter ref="A4:P71"/>
  <x:tableColumns count="16">
    <x:tableColumn id="1" name="county_fips"/>
    <x:tableColumn id="2" name="state_abbr"/>
    <x:tableColumn id="3" name="county"/>
    <x:tableColumn id="4" name="observation_year"/>
    <x:tableColumn id="5" name="overall_food_insecurity_rate"/>
    <x:tableColumn id="6" name="food_insecure_persons"/>
    <x:tableColumn id="7" name="food_insecure_at_or_below_snap_threshold_rate"/>
    <x:tableColumn id="8" name="food_insecure_above_snap_threshold_rate"/>
    <x:tableColumn id="9" name="child_food_insecurity_rate"/>
    <x:tableColumn id="10" name="food_insecure_children"/>
    <x:tableColumn id="11" name="market_basket_data_imputed"/>
    <x:tableColumn id="12" name="cost_per_meal_usd"/>
    <x:tableColumn id="13" name="weekly_food_budget_shortfall_per_food_insecure_person_usd"/>
    <x:tableColumn id="14" name="annual_food_budget_shortfall_usd"/>
    <x:tableColumn id="15" name="rural_urban_continuum_code_2023"/>
    <x:tableColumn id="16" name="source_id"/>
  </x:tableColumns>
  <x:tableStyleInfo name="TableStyleMedium2" showFirstColumn="0" showLastColumn="0" showRowStripes="1" showColumnStripes="0"/>
</x:table>
</file>

<file path=xl/tables/table8.xml><?xml version="1.0" encoding="utf-8"?>
<x:table xmlns:x="http://schemas.openxmlformats.org/spreadsheetml/2006/main" id="8" name="MMGAlabamaState" displayName="MMGAlabamaState" ref="A4:R5" headerRowCount="1" totalsRowCount="0" totalsRowShown="0">
  <x:autoFilter ref="A4:R5"/>
  <x:tableColumns count="18">
    <x:tableColumn id="1" name="state_fips"/>
    <x:tableColumn id="2" name="state_name"/>
    <x:tableColumn id="3" name="state_abbr"/>
    <x:tableColumn id="4" name="observation_year"/>
    <x:tableColumn id="5" name="overall_food_insecurity_rate"/>
    <x:tableColumn id="6" name="food_insecure_persons"/>
    <x:tableColumn id="7" name="food_insecure_at_or_below_snap_threshold_rate"/>
    <x:tableColumn id="8" name="food_insecure_above_snap_threshold_rate"/>
    <x:tableColumn id="9" name="child_food_insecurity_rate"/>
    <x:tableColumn id="10" name="food_insecure_children"/>
    <x:tableColumn id="11" name="senior_food_insecurity_rate"/>
    <x:tableColumn id="12" name="food_insecure_seniors"/>
    <x:tableColumn id="13" name="older_adult_food_insecurity_rate"/>
    <x:tableColumn id="14" name="food_insecure_older_adults"/>
    <x:tableColumn id="15" name="cost_per_meal_usd"/>
    <x:tableColumn id="16" name="weekly_food_budget_shortfall_per_food_insecure_person_usd"/>
    <x:tableColumn id="17" name="annual_food_budget_shortfall_usd"/>
    <x:tableColumn id="18" name="source_id"/>
  </x:tableColumns>
  <x:tableStyleInfo name="TableStyleMedium2" showFirstColumn="0" showLastColumn="0" showRowStripes="1" showColumnStripes="0"/>
</x:table>
</file>

<file path=xl/tables/table9.xml><?xml version="1.0" encoding="utf-8"?>
<x:table xmlns:x="http://schemas.openxmlformats.org/spreadsheetml/2006/main" id="9" name="SensitivityResults" displayName="SensitivityResults" ref="A4:I13" headerRowCount="1" totalsRowCount="0" totalsRowShown="0">
  <x:autoFilter ref="A4:I13"/>
  <x:tableColumns count="9">
    <x:tableColumn id="1" name="geography"/>
    <x:tableColumn id="2" name="distance_method"/>
    <x:tableColumn id="3" name="threshold"/>
    <x:tableColumn id="4" name="low_access_population"/>
    <x:tableColumn id="5" name="low_access_population_pct"/>
    <x:tableColumn id="6" name="low_income_low_access_population"/>
    <x:tableColumn id="7" name="low_income_low_access_population_pct"/>
    <x:tableColumn id="8" name="lila_tract_count"/>
    <x:tableColumn id="9" name="lila_tract_pct"/>
  </x:tableColumns>
  <x:tableStyleInfo name="TableStyleMedium2" showFirstColumn="0" showLastColumn="0" showRowStripes="1" showColumnStripes="0"/>
</x:table>
</file>

<file path=xl/tables/table10.xml><?xml version="1.0" encoding="utf-8"?>
<x:table xmlns:x="http://schemas.openxmlformats.org/spreadsheetml/2006/main" id="10" name="QAResults" displayName="QAResults" ref="A4:E23" headerRowCount="1" totalsRowCount="0" totalsRowShown="0">
  <x:autoFilter ref="A4:E23"/>
  <x:tableColumns count="5">
    <x:tableColumn id="1" name="check"/>
    <x:tableColumn id="2" name="status"/>
    <x:tableColumn id="3" name="observed"/>
    <x:tableColumn id="4" name="expected"/>
    <x:tableColumn id="5" name="note"/>
  </x:tableColumns>
  <x:tableStyleInfo name="TableStyleMedium2" showFirstColumn="0" showLastColumn="0" showRowStripes="1" showColumnStripes="0"/>
</x:table>
</file>

<file path=xl/tables/table11.xml><?xml version="1.0" encoding="utf-8"?>
<x:table xmlns:x="http://schemas.openxmlformats.org/spreadsheetml/2006/main" id="11" name="DatasetAssessment" displayName="DatasetAssessment" ref="A4:F13" headerRowCount="1" totalsRowCount="0" totalsRowShown="0">
  <x:autoFilter ref="A4:F13"/>
  <x:tableColumns count="6">
    <x:tableColumn id="1" name="source_id"/>
    <x:tableColumn id="2" name="analytical_purpose"/>
    <x:tableColumn id="3" name="grain"/>
    <x:tableColumn id="4" name="vintage"/>
    <x:tableColumn id="5" name="recommendation"/>
    <x:tableColumn id="6" name="limitation"/>
  </x:tableColumns>
  <x:tableStyleInfo name="TableStyleMedium2" showFirstColumn="0" showLastColumn="0" showRowStripes="1" showColumnStripes="0"/>
</x:table>
</file>

<file path=xl/tables/table12.xml><?xml version="1.0" encoding="utf-8"?>
<x:table xmlns:x="http://schemas.openxmlformats.org/spreadsheetml/2006/main" id="12" name="VariableDictionary" displayName="VariableDictionary" ref="A4:E23" headerRowCount="1" totalsRowCount="0" totalsRowShown="0">
  <x:autoFilter ref="A4:E23"/>
  <x:tableColumns count="5">
    <x:tableColumn id="1" name="field"/>
    <x:tableColumn id="2" name="source"/>
    <x:tableColumn id="3" name="definition"/>
    <x:tableColumn id="4" name="unit"/>
    <x:tableColumn id="5" name="processing_note"/>
  </x:tableColumns>
  <x:tableStyleInfo name="TableStyleMedium2" showFirstColumn="0" showLastColumn="0" showRowStripes="1" showColumnStripes="0"/>
</x:table>
</file>

<file path=xl/tables/table13.xml><?xml version="1.0" encoding="utf-8"?>
<x:table xmlns:x="http://schemas.openxmlformats.org/spreadsheetml/2006/main" id="13" name="SourceManifest" displayName="SourceManifest" ref="A4:J12" headerRowCount="1" totalsRowCount="0" totalsRowShown="0">
  <x:autoFilter ref="A4:J12"/>
  <x:tableColumns count="10">
    <x:tableColumn id="1" name="source_id"/>
    <x:tableColumn id="2" name="publisher"/>
    <x:tableColumn id="3" name="dataset"/>
    <x:tableColumn id="4" name="url"/>
    <x:tableColumn id="5" name="geography"/>
    <x:tableColumn id="6" name="vintage"/>
    <x:tableColumn id="7" name="retrieved_at_utc"/>
    <x:tableColumn id="8" name="bytes"/>
    <x:tableColumn id="9" name="sha256"/>
    <x:tableColumn id="10" name="access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b57486f3bae4b77" /></Relationships>
</file>

<file path=xl/worksheets/_rels/sheet4.xml.rels>&#65279;<?xml version="1.0" encoding="utf-8"?><Relationships xmlns="http://schemas.openxmlformats.org/package/2006/relationships"><Relationship Type="http://schemas.openxmlformats.org/officeDocument/2006/relationships/table" Target="/xl/tables/table2.xml" Id="R27b17a0a24de4278" /></Relationships>
</file>

<file path=xl/worksheets/_rels/sheet5.xml.rels>&#65279;<?xml version="1.0" encoding="utf-8"?><Relationships xmlns="http://schemas.openxmlformats.org/package/2006/relationships"><Relationship Type="http://schemas.openxmlformats.org/officeDocument/2006/relationships/table" Target="/xl/tables/table3.xml" Id="R10fcd934f44447e9" /></Relationships>
</file>

<file path=xl/worksheets/_rels/sheet6.xml.rels>&#65279;<?xml version="1.0" encoding="utf-8"?><Relationships xmlns="http://schemas.openxmlformats.org/package/2006/relationships"><Relationship Type="http://schemas.openxmlformats.org/officeDocument/2006/relationships/table" Target="/xl/tables/table4.xml" Id="Rba0ca3cc29ef4402" /></Relationships>
</file>

<file path=xl/worksheets/_rels/sheet7.xml.rels>&#65279;<?xml version="1.0" encoding="utf-8"?><Relationships xmlns="http://schemas.openxmlformats.org/package/2006/relationships"><Relationship Type="http://schemas.openxmlformats.org/officeDocument/2006/relationships/table" Target="/xl/tables/table5.xml" Id="R689c6de3126948d5" /></Relationships>
</file>

<file path=xl/worksheets/_rels/sheet8.xml.rels>&#65279;<?xml version="1.0" encoding="utf-8"?><Relationships xmlns="http://schemas.openxmlformats.org/package/2006/relationships"><Relationship Type="http://schemas.openxmlformats.org/officeDocument/2006/relationships/table" Target="/xl/tables/table6.xml" Id="R85f3ecaf62f343d3" /></Relationships>
</file>

<file path=xl/worksheets/_rels/sheet9.xml.rels>&#65279;<?xml version="1.0" encoding="utf-8"?><Relationships xmlns="http://schemas.openxmlformats.org/package/2006/relationships"><Relationship Type="http://schemas.openxmlformats.org/officeDocument/2006/relationships/table" Target="/xl/tables/table7.xml" Id="R33b73381aca048b7" /></Relationships>
</file>

<file path=xl/worksheets/_rels/sheet10.xml.rels>&#65279;<?xml version="1.0" encoding="utf-8"?><Relationships xmlns="http://schemas.openxmlformats.org/package/2006/relationships"><Relationship Type="http://schemas.openxmlformats.org/officeDocument/2006/relationships/table" Target="/xl/tables/table8.xml" Id="R6bbcde531c344611" /></Relationships>
</file>

<file path=xl/worksheets/_rels/sheet11.xml.rels>&#65279;<?xml version="1.0" encoding="utf-8"?><Relationships xmlns="http://schemas.openxmlformats.org/package/2006/relationships"><Relationship Type="http://schemas.openxmlformats.org/officeDocument/2006/relationships/table" Target="/xl/tables/table9.xml" Id="R464f4c2b4cea49c5" /></Relationships>
</file>

<file path=xl/worksheets/_rels/sheet12.xml.rels>&#65279;<?xml version="1.0" encoding="utf-8"?><Relationships xmlns="http://schemas.openxmlformats.org/package/2006/relationships"><Relationship Type="http://schemas.openxmlformats.org/officeDocument/2006/relationships/table" Target="/xl/tables/table10.xml" Id="R1c398de5af9c4e24" /></Relationships>
</file>

<file path=xl/worksheets/_rels/sheet13.xml.rels>&#65279;<?xml version="1.0" encoding="utf-8"?><Relationships xmlns="http://schemas.openxmlformats.org/package/2006/relationships"><Relationship Type="http://schemas.openxmlformats.org/officeDocument/2006/relationships/table" Target="/xl/tables/table11.xml" Id="R87e1ae2638544b33" /></Relationships>
</file>

<file path=xl/worksheets/_rels/sheet14.xml.rels>&#65279;<?xml version="1.0" encoding="utf-8"?><Relationships xmlns="http://schemas.openxmlformats.org/package/2006/relationships"><Relationship Type="http://schemas.openxmlformats.org/officeDocument/2006/relationships/table" Target="/xl/tables/table12.xml" Id="Rfe3254fb945e4916" /></Relationships>
</file>

<file path=xl/worksheets/_rels/sheet15.xml.rels>&#65279;<?xml version="1.0" encoding="utf-8"?><Relationships xmlns="http://schemas.openxmlformats.org/package/2006/relationships"><Relationship Type="http://schemas.openxmlformats.org/officeDocument/2006/relationships/table" Target="/xl/tables/table13.xml" Id="R26c4c5abd74e45ac" /></Relationships>
</file>

<file path=xl/worksheets/sheet1.xml><?xml version="1.0" encoding="utf-8"?>
<x:worksheet xmlns:x="http://schemas.openxmlformats.org/spreadsheetml/2006/main">
  <x:sheetViews>
    <x:sheetView showGridLines="0" workbookViewId="0"/>
  </x:sheetViews>
  <x:sheetFormatPr defaultRowHeight="15"/>
  <x:cols>
    <x:col min="1" max="1" width="51" hidden="0" customWidth="1"/>
    <x:col min="2" max="2" width="18" hidden="0" customWidth="1"/>
    <x:col min="3" max="3" width="3"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s>
  <x:sheetData>
    <x:row r="1" ht="34" customHeight="1">
      <x:c r="A1" s="3" t="str">
        <x:v>Data for Dinner: food-access analysis</x:v>
      </x:c>
      <x:c r="B1" s="3"/>
      <x:c r="C1" s="3"/>
      <x:c r="D1" s="3"/>
      <x:c r="E1" s="3"/>
      <x:c r="F1" s="3"/>
      <x:c r="G1" s="3"/>
      <x:c r="H1" s="3"/>
      <x:c r="I1" s="3"/>
      <x:c r="J1" s="3"/>
    </x:row>
    <x:row r="2" ht="30" customHeight="1">
      <x:c r="A2" s="7" t="str">
        <x:v>Global to United States to project-defined Southeast to Alabama | team story by Sandra Kopecky: 2026-08-29</x:v>
      </x:c>
      <x:c r="B2" s="7"/>
      <x:c r="C2" s="7"/>
      <x:c r="D2" s="7"/>
      <x:c r="E2" s="7"/>
      <x:c r="F2" s="7"/>
      <x:c r="G2" s="7"/>
      <x:c r="H2" s="7"/>
      <x:c r="I2" s="7"/>
      <x:c r="J2" s="7"/>
    </x:row>
    <x:row r="4">
      <x:c r="A4" s="9" t="str">
        <x:v>Key facts</x:v>
      </x:c>
      <x:c r="B4" s="9"/>
      <x:c r="C4" s="9"/>
      <x:c r="D4" s="9"/>
      <x:c r="E4" s="9"/>
      <x:c r="F4" s="9"/>
      <x:c r="G4" s="9"/>
      <x:c r="H4" s="9"/>
      <x:c r="I4" s="9"/>
      <x:c r="J4" s="9"/>
    </x:row>
    <x:row r="6" ht="34" customHeight="1">
      <x:c r="A6" s="16" t="str">
        <x:v>Measure</x:v>
      </x:c>
      <x:c r="B6" s="17" t="str">
        <x:v>Value</x:v>
      </x:c>
      <x:c r="D6" s="11" t="str">
        <x:v>What stands out</x:v>
      </x:c>
      <x:c r="E6" s="11"/>
      <x:c r="F6" s="11"/>
      <x:c r="G6" s="11"/>
      <x:c r="H6" s="11"/>
      <x:c r="I6" s="11"/>
      <x:c r="J6" s="11"/>
    </x:row>
    <x:row r="7">
      <x:c r="A7" s="21" t="str">
        <x:v>World moderate/severe food insecurity (2023-2025)</x:v>
      </x:c>
      <x:c r="B7" s="29" t="n">
        <x:f>26.8/100</x:f>
        <x:v>0.268</x:v>
      </x:c>
      <x:c r="D7" s="51" t="str">
        <x:v>Alabama is ninth-highest of the ten project states on the USDA household estimate (12.1% with a 2.23-point margin of error) and eighth-highest on the low-income retailer-access burden (20.2%). Feeding America separately estimates 17.8% of Alabama residents and 24.4% of children were food insecure in 2024. Road-network sensitivity ranges from 19.6% to 35.9%, so the selected threshold must accompany every proximity result.</x:v>
      </x:c>
      <x:c r="E7" s="52"/>
      <x:c r="F7" s="52"/>
      <x:c r="G7" s="52"/>
      <x:c r="H7" s="52"/>
      <x:c r="I7" s="52"/>
      <x:c r="J7" s="53"/>
    </x:row>
    <x:row r="8">
      <x:c r="A8" s="23" t="str">
        <x:v>U.S. households food insecure (2024)</x:v>
      </x:c>
      <x:c r="B8" s="30" t="n">
        <x:f>13.7/100</x:f>
        <x:v>0.13699999999999998</x:v>
      </x:c>
      <x:c r="D8" s="54"/>
      <x:c r="E8" s="55"/>
      <x:c r="F8" s="55"/>
      <x:c r="G8" s="55"/>
      <x:c r="H8" s="55"/>
      <x:c r="I8" s="55"/>
      <x:c r="J8" s="56"/>
    </x:row>
    <x:row r="9">
      <x:c r="A9" s="23" t="str">
        <x:v>Alabama households food insecure (2022-2024)</x:v>
      </x:c>
      <x:c r="B9" s="30" t="n">
        <x:f>INDEX('Southeast'!$C$5:$C$14,MATCH("AL",'Southeast'!$B$5:$B$14,0))/100</x:f>
        <x:v>0.121</x:v>
      </x:c>
      <x:c r="D9" s="54"/>
      <x:c r="E9" s="55"/>
      <x:c r="F9" s="55"/>
      <x:c r="G9" s="55"/>
      <x:c r="H9" s="55"/>
      <x:c r="I9" s="55"/>
      <x:c r="J9" s="56"/>
    </x:row>
    <x:row r="10">
      <x:c r="A10" s="23" t="str">
        <x:v>Alabama modeled individual food insecurity (2024)</x:v>
      </x:c>
      <x:c r="B10" s="30" t="n">
        <x:f>'MMG AL State'!E5</x:f>
        <x:v>0.178</x:v>
      </x:c>
      <x:c r="D10" s="54"/>
      <x:c r="E10" s="55"/>
      <x:c r="F10" s="55"/>
      <x:c r="G10" s="55"/>
      <x:c r="H10" s="55"/>
      <x:c r="I10" s="55"/>
      <x:c r="J10" s="56"/>
    </x:row>
    <x:row r="11">
      <x:c r="A11" s="23" t="str">
        <x:v>Alabama modeled child food insecurity (2024)</x:v>
      </x:c>
      <x:c r="B11" s="30" t="n">
        <x:f>'MMG AL State'!I5</x:f>
        <x:v>0.244</x:v>
      </x:c>
      <x:c r="D11" s="54"/>
      <x:c r="E11" s="55"/>
      <x:c r="F11" s="55"/>
      <x:c r="G11" s="55"/>
      <x:c r="H11" s="55"/>
      <x:c r="I11" s="55"/>
      <x:c r="J11" s="56"/>
    </x:row>
    <x:row r="12">
      <x:c r="A12" s="23" t="str">
        <x:v>Alabama low-income residents beyond 1/10-mile threshold</x:v>
      </x:c>
      <x:c r="B12" s="30" t="n">
        <x:f>INDEX('Southeast'!$G$5:$G$14,MATCH("AL",'Southeast'!$B$5:$B$14,0))/100</x:f>
        <x:v>0.20222953645654634</x:v>
      </x:c>
      <x:c r="D12" s="54"/>
      <x:c r="E12" s="55"/>
      <x:c r="F12" s="55"/>
      <x:c r="G12" s="55"/>
      <x:c r="H12" s="55"/>
      <x:c r="I12" s="55"/>
      <x:c r="J12" s="56"/>
    </x:row>
    <x:row r="13">
      <x:c r="A13" s="23" t="str">
        <x:v>Alabama LILA tracts</x:v>
      </x:c>
      <x:c r="B13" s="31" t="n">
        <x:f>INDEX('Retail by State'!$J$5:$J$55,MATCH("AL",'Retail by State'!$B$5:$B$55,0))</x:f>
        <x:v>151</x:v>
      </x:c>
      <x:c r="D13" s="54"/>
      <x:c r="E13" s="55"/>
      <x:c r="F13" s="55"/>
      <x:c r="G13" s="55"/>
      <x:c r="H13" s="55"/>
      <x:c r="I13" s="55"/>
      <x:c r="J13" s="56"/>
    </x:row>
    <x:row r="14">
      <x:c r="A14" s="23" t="str">
        <x:v>Alabama LILA tract share</x:v>
      </x:c>
      <x:c r="B14" s="30" t="n">
        <x:f>INDEX('Retail by State'!$K$5:$K$55,MATCH("AL",'Retail by State'!$B$5:$B$55,0))/100</x:f>
        <x:v>0.10515320334261839</x:v>
      </x:c>
      <x:c r="D14" s="57"/>
      <x:c r="E14" s="58"/>
      <x:c r="F14" s="58"/>
      <x:c r="G14" s="58"/>
      <x:c r="H14" s="58"/>
      <x:c r="I14" s="58"/>
      <x:c r="J14" s="59"/>
    </x:row>
    <x:row r="15">
      <x:c r="A15" s="23" t="str">
        <x:v>QA checks passed</x:v>
      </x:c>
      <x:c r="B15" s="32" t="n">
        <x:f>COUNTIF('QA'!$B$5:$B$23,"PASS")</x:f>
        <x:v>17</x:v>
      </x:c>
    </x:row>
    <x:row r="16">
      <x:c r="A16" s="27" t="str">
        <x:v>QA checks failed</x:v>
      </x:c>
      <x:c r="B16" s="33" t="n">
        <x:f>COUNTIF('QA'!$B$5:$B$23,"FAIL")</x:f>
        <x:v>0</x:v>
      </x:c>
    </x:row>
    <x:row r="18">
      <x:c r="A18" s="61" t="str">
        <x:v>Decision</x:v>
      </x:c>
      <x:c r="B18" s="61"/>
      <x:c r="C18" s="61"/>
      <x:c r="D18" s="61"/>
      <x:c r="E18" s="61"/>
      <x:c r="F18" s="61"/>
      <x:c r="G18" s="61"/>
      <x:c r="H18" s="61"/>
      <x:c r="I18" s="61"/>
      <x:c r="J18" s="61"/>
    </x:row>
    <x:row r="19">
      <x:c r="A19" s="80" t="str">
        <x:v>Use Sandra Kopecky's contributed workbook as the prevailing team story source. Retain this validated workbook as the audit source for exact publication values. Retain USDA SRAM road-network data as the primary local dataset, keep Feeding America as a separate modeled outcome layer, and keep allergies outside the active scope.</x:v>
      </x:c>
      <x:c r="B19" s="81"/>
      <x:c r="C19" s="81"/>
      <x:c r="D19" s="81"/>
      <x:c r="E19" s="81"/>
      <x:c r="F19" s="81"/>
      <x:c r="G19" s="81"/>
      <x:c r="H19" s="81"/>
      <x:c r="I19" s="81"/>
      <x:c r="J19" s="82"/>
    </x:row>
    <x:row r="20">
      <x:c r="A20" s="83"/>
      <x:c r="B20" s="84"/>
      <x:c r="C20" s="84"/>
      <x:c r="D20" s="84"/>
      <x:c r="E20" s="84"/>
      <x:c r="F20" s="84"/>
      <x:c r="G20" s="84"/>
      <x:c r="H20" s="84"/>
      <x:c r="I20" s="84"/>
      <x:c r="J20" s="85"/>
    </x:row>
    <x:row r="21">
      <x:c r="A21" s="83"/>
      <x:c r="B21" s="84"/>
      <x:c r="C21" s="84"/>
      <x:c r="D21" s="84"/>
      <x:c r="E21" s="84"/>
      <x:c r="F21" s="84"/>
      <x:c r="G21" s="84"/>
      <x:c r="H21" s="84"/>
      <x:c r="I21" s="84"/>
      <x:c r="J21" s="85"/>
    </x:row>
    <x:row r="22">
      <x:c r="A22" s="83"/>
      <x:c r="B22" s="84"/>
      <x:c r="C22" s="84"/>
      <x:c r="D22" s="84"/>
      <x:c r="E22" s="84"/>
      <x:c r="F22" s="84"/>
      <x:c r="G22" s="84"/>
      <x:c r="H22" s="84"/>
      <x:c r="I22" s="84"/>
      <x:c r="J22" s="85"/>
    </x:row>
    <x:row r="23">
      <x:c r="A23" s="86"/>
      <x:c r="B23" s="87"/>
      <x:c r="C23" s="87"/>
      <x:c r="D23" s="87"/>
      <x:c r="E23" s="87"/>
      <x:c r="F23" s="87"/>
      <x:c r="G23" s="87"/>
      <x:c r="H23" s="87"/>
      <x:c r="I23" s="87"/>
      <x:c r="J23" s="88"/>
    </x:row>
    <x:row r="25">
      <x:c r="A25" s="90" t="str">
        <x:v>Comparability boundary</x:v>
      </x:c>
      <x:c r="B25" s="90"/>
      <x:c r="C25" s="90"/>
      <x:c r="D25" s="90"/>
      <x:c r="E25" s="90"/>
      <x:c r="F25" s="90"/>
      <x:c r="G25" s="90"/>
      <x:c r="H25" s="90"/>
      <x:c r="I25" s="90"/>
      <x:c r="J25" s="90"/>
    </x:row>
    <x:row r="26">
      <x:c r="A26" s="109" t="str">
        <x:v>FAOSTAT population indicators, USDA household food insecurity, Feeding America modeled individual estimates, and tract-level SNAP-retailer proximity have different universes, units, and meanings. The workbook keeps them on separate sheets and does not compute a combined score.</x:v>
      </x:c>
      <x:c r="B26" s="110"/>
      <x:c r="C26" s="110"/>
      <x:c r="D26" s="110"/>
      <x:c r="E26" s="110"/>
      <x:c r="F26" s="110"/>
      <x:c r="G26" s="110"/>
      <x:c r="H26" s="110"/>
      <x:c r="I26" s="110"/>
      <x:c r="J26" s="111"/>
    </x:row>
    <x:row r="27">
      <x:c r="A27" s="112"/>
      <x:c r="B27" s="113"/>
      <x:c r="C27" s="113"/>
      <x:c r="D27" s="113"/>
      <x:c r="E27" s="113"/>
      <x:c r="F27" s="113"/>
      <x:c r="G27" s="113"/>
      <x:c r="H27" s="113"/>
      <x:c r="I27" s="113"/>
      <x:c r="J27" s="114"/>
    </x:row>
    <x:row r="28">
      <x:c r="A28" s="112"/>
      <x:c r="B28" s="113"/>
      <x:c r="C28" s="113"/>
      <x:c r="D28" s="113"/>
      <x:c r="E28" s="113"/>
      <x:c r="F28" s="113"/>
      <x:c r="G28" s="113"/>
      <x:c r="H28" s="113"/>
      <x:c r="I28" s="113"/>
      <x:c r="J28" s="114"/>
    </x:row>
    <x:row r="29">
      <x:c r="A29" s="115"/>
      <x:c r="B29" s="116"/>
      <x:c r="C29" s="116"/>
      <x:c r="D29" s="116"/>
      <x:c r="E29" s="116"/>
      <x:c r="F29" s="116"/>
      <x:c r="G29" s="116"/>
      <x:c r="H29" s="116"/>
      <x:c r="I29" s="116"/>
      <x:c r="J29" s="117"/>
    </x:row>
  </x:sheetData>
  <x:mergeCells>
    <x:mergeCell ref="A1:J1"/>
    <x:mergeCell ref="A2:J2"/>
    <x:mergeCell ref="A4:J4"/>
    <x:mergeCell ref="D6:J6"/>
    <x:mergeCell ref="D7:J14"/>
    <x:mergeCell ref="A18:J18"/>
    <x:mergeCell ref="A19:J23"/>
    <x:mergeCell ref="A25:J25"/>
    <x:mergeCell ref="A26:J2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7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ht="34" customHeight="1">
      <x:c r="A1" s="3" t="str">
        <x:v>Prevailing team story workbook</x:v>
      </x:c>
      <x:c r="B1" s="3"/>
      <x:c r="C1" s="3"/>
      <x:c r="D1" s="3"/>
      <x:c r="E1" s="3"/>
      <x:c r="F1" s="3"/>
      <x:c r="G1" s="3"/>
      <x:c r="H1" s="3"/>
      <x:c r="I1" s="3"/>
      <x:c r="J1" s="3"/>
    </x:row>
    <x:row r="2" ht="30" customHeight="1">
      <x:c r="A2" s="7" t="str">
        <x:v>Story workbook, data synthesis, and regional framing by Sandra Kopecky | received 2026-08-29</x:v>
      </x:c>
      <x:c r="B2" s="7"/>
      <x:c r="C2" s="7"/>
      <x:c r="D2" s="7"/>
      <x:c r="E2" s="7"/>
      <x:c r="F2" s="7"/>
      <x:c r="G2" s="7"/>
      <x:c r="H2" s="7"/>
      <x:c r="I2" s="7"/>
      <x:c r="J2" s="7"/>
    </x:row>
    <x:row r="4">
      <x:c r="A4" s="9" t="str">
        <x:v>Authorship and status</x:v>
      </x:c>
      <x:c r="B4" s="9"/>
      <x:c r="C4" s="9"/>
      <x:c r="D4" s="9"/>
      <x:c r="E4" s="9"/>
      <x:c r="F4" s="9"/>
      <x:c r="G4" s="9"/>
      <x:c r="H4" s="9"/>
      <x:c r="I4" s="9"/>
      <x:c r="J4" s="9"/>
    </x:row>
    <x:row r="6">
      <x:c r="A6" s="120" t="str">
        <x:v>Contributor</x:v>
      </x:c>
      <x:c r="B6" s="126" t="str">
        <x:v>Sandra Kopecky</x:v>
      </x:c>
    </x:row>
    <x:row r="7">
      <x:c r="A7" s="122" t="str">
        <x:v>Repository file</x:v>
      </x:c>
      <x:c r="B7" s="127" t="str">
        <x:v>data/contributed/sandra_kopecky/WomenInData Data Stats and Summary - Story.xlsx</x:v>
      </x:c>
    </x:row>
    <x:row r="8">
      <x:c r="A8" s="122" t="str">
        <x:v>Status</x:v>
      </x:c>
      <x:c r="B8" s="127" t="str">
        <x:v>Prevailing team story workbook for presentation development</x:v>
      </x:c>
    </x:row>
    <x:row r="9">
      <x:c r="A9" s="122" t="str">
        <x:v>Structure</x:v>
      </x:c>
      <x:c r="B9" s="127" t="str">
        <x:v>7 sheets: Global, US, US Regions, Southeast, Structural Drivers of Southeast, Alabama, Alabama Regions</x:v>
      </x:c>
    </x:row>
    <x:row r="10">
      <x:c r="A10" s="122" t="str">
        <x:v>SHA-256</x:v>
      </x:c>
      <x:c r="B10" s="127" t="str">
        <x:v>3f4a02393c00218350cb63637c0cc20a5866f18eb7cabd69089c159c3af8f3e4</x:v>
      </x:c>
    </x:row>
    <x:row r="11">
      <x:c r="A11" s="124" t="str">
        <x:v>Credit language</x:v>
      </x:c>
      <x:c r="B11" s="128" t="str">
        <x:v>Story workbook, data synthesis, and regional framing by Sandra Kopecky.</x:v>
      </x:c>
    </x:row>
    <x:row r="13">
      <x:c r="A13" s="11" t="str">
        <x:v>How to use Sandra's workbook</x:v>
      </x:c>
      <x:c r="B13" s="11"/>
      <x:c r="C13" s="11"/>
      <x:c r="D13" s="11"/>
      <x:c r="E13" s="11"/>
      <x:c r="F13" s="11"/>
      <x:c r="G13" s="11"/>
      <x:c r="H13" s="11"/>
      <x:c r="I13" s="11"/>
      <x:c r="J13" s="11"/>
    </x:row>
    <x:row r="14">
      <x:c r="A14" s="51" t="str">
        <x:v>Sandra's workbook guides story order and presentation emphasis from global context through Alabama regional framing. This validated workbook remains the numeric audit source for exact values, denominators, formulas, and QA. The two workbooks are complementary, and Sandra's story contribution should be credited in slides, narration, and supporting materials.</x:v>
      </x:c>
      <x:c r="B14" s="52"/>
      <x:c r="C14" s="52"/>
      <x:c r="D14" s="52"/>
      <x:c r="E14" s="52"/>
      <x:c r="F14" s="52"/>
      <x:c r="G14" s="52"/>
      <x:c r="H14" s="52"/>
      <x:c r="I14" s="52"/>
      <x:c r="J14" s="53"/>
    </x:row>
    <x:row r="15">
      <x:c r="A15" s="54"/>
      <x:c r="B15" s="55"/>
      <x:c r="C15" s="55"/>
      <x:c r="D15" s="55"/>
      <x:c r="E15" s="55"/>
      <x:c r="F15" s="55"/>
      <x:c r="G15" s="55"/>
      <x:c r="H15" s="55"/>
      <x:c r="I15" s="55"/>
      <x:c r="J15" s="56"/>
    </x:row>
    <x:row r="16">
      <x:c r="A16" s="54"/>
      <x:c r="B16" s="55"/>
      <x:c r="C16" s="55"/>
      <x:c r="D16" s="55"/>
      <x:c r="E16" s="55"/>
      <x:c r="F16" s="55"/>
      <x:c r="G16" s="55"/>
      <x:c r="H16" s="55"/>
      <x:c r="I16" s="55"/>
      <x:c r="J16" s="56"/>
    </x:row>
    <x:row r="17">
      <x:c r="A17" s="57"/>
      <x:c r="B17" s="58"/>
      <x:c r="C17" s="58"/>
      <x:c r="D17" s="58"/>
      <x:c r="E17" s="58"/>
      <x:c r="F17" s="58"/>
      <x:c r="G17" s="58"/>
      <x:c r="H17" s="58"/>
      <x:c r="I17" s="58"/>
      <x:c r="J17" s="59"/>
    </x:row>
    <x:row r="19">
      <x:c r="A19" s="61" t="str">
        <x:v>Review items for the evolving story</x:v>
      </x:c>
      <x:c r="B19" s="61"/>
      <x:c r="C19" s="61"/>
      <x:c r="D19" s="61"/>
      <x:c r="E19" s="61"/>
      <x:c r="F19" s="61"/>
      <x:c r="G19" s="61"/>
      <x:c r="H19" s="61"/>
      <x:c r="I19" s="61"/>
      <x:c r="J19" s="61"/>
    </x:row>
    <x:row r="20">
      <x:c r="A20" s="80" t="str">
        <x:v>The Southeast narrative says Alabama at 12.1% and North Carolina at 11.8% are above the 13.3% national average. Both are below 13.3%, so the validated report does not repeat that sentence.</x:v>
      </x:c>
      <x:c r="B20" s="81"/>
      <x:c r="C20" s="81"/>
      <x:c r="D20" s="81"/>
      <x:c r="E20" s="81"/>
      <x:c r="F20" s="81"/>
      <x:c r="G20" s="81"/>
      <x:c r="H20" s="81"/>
      <x:c r="I20" s="81"/>
      <x:c r="J20" s="82"/>
    </x:row>
    <x:row r="21">
      <x:c r="A21" s="83"/>
      <x:c r="B21" s="84"/>
      <x:c r="C21" s="84"/>
      <x:c r="D21" s="84"/>
      <x:c r="E21" s="84"/>
      <x:c r="F21" s="84"/>
      <x:c r="G21" s="84"/>
      <x:c r="H21" s="84"/>
      <x:c r="I21" s="84"/>
      <x:c r="J21" s="85"/>
    </x:row>
    <x:row r="22">
      <x:c r="A22" s="86"/>
      <x:c r="B22" s="87"/>
      <x:c r="C22" s="87"/>
      <x:c r="D22" s="87"/>
      <x:c r="E22" s="87"/>
      <x:c r="F22" s="87"/>
      <x:c r="G22" s="87"/>
      <x:c r="H22" s="87"/>
      <x:c r="I22" s="87"/>
      <x:c r="J22" s="88"/>
    </x:row>
    <x:row r="24">
      <x:c r="A24" s="109" t="str">
        <x:v>Structural-driver statements, county key-driver labels, static top-ten rankings, and Alabama regional summaries remain story hypotheses until direct citations and reproducible calculations are attached. Do not combine household food insecurity, modeled individual estimates, retailer proximity, and regional story groupings into one score.</x:v>
      </x:c>
      <x:c r="B24" s="110"/>
      <x:c r="C24" s="110"/>
      <x:c r="D24" s="110"/>
      <x:c r="E24" s="110"/>
      <x:c r="F24" s="110"/>
      <x:c r="G24" s="110"/>
      <x:c r="H24" s="110"/>
      <x:c r="I24" s="110"/>
      <x:c r="J24" s="111"/>
    </x:row>
    <x:row r="25">
      <x:c r="A25" s="112"/>
      <x:c r="B25" s="113"/>
      <x:c r="C25" s="113"/>
      <x:c r="D25" s="113"/>
      <x:c r="E25" s="113"/>
      <x:c r="F25" s="113"/>
      <x:c r="G25" s="113"/>
      <x:c r="H25" s="113"/>
      <x:c r="I25" s="113"/>
      <x:c r="J25" s="114"/>
    </x:row>
    <x:row r="26">
      <x:c r="A26" s="112"/>
      <x:c r="B26" s="113"/>
      <x:c r="C26" s="113"/>
      <x:c r="D26" s="113"/>
      <x:c r="E26" s="113"/>
      <x:c r="F26" s="113"/>
      <x:c r="G26" s="113"/>
      <x:c r="H26" s="113"/>
      <x:c r="I26" s="113"/>
      <x:c r="J26" s="114"/>
    </x:row>
    <x:row r="27">
      <x:c r="A27" s="115"/>
      <x:c r="B27" s="116"/>
      <x:c r="C27" s="116"/>
      <x:c r="D27" s="116"/>
      <x:c r="E27" s="116"/>
      <x:c r="F27" s="116"/>
      <x:c r="G27" s="116"/>
      <x:c r="H27" s="116"/>
      <x:c r="I27" s="116"/>
      <x:c r="J27" s="117"/>
    </x:row>
  </x:sheetData>
  <x:mergeCells>
    <x:mergeCell ref="A1:J1"/>
    <x:mergeCell ref="A2:J2"/>
    <x:mergeCell ref="A4:J4"/>
    <x:mergeCell ref="A13:J13"/>
    <x:mergeCell ref="A14:J17"/>
    <x:mergeCell ref="A19:J19"/>
    <x:mergeCell ref="A20:J22"/>
    <x:mergeCell ref="A24:J27"/>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64" hidden="0" customWidth="1"/>
    <x:col min="3" max="3" width="15" hidden="0" customWidth="1"/>
    <x:col min="4" max="4" width="12" hidden="0" customWidth="1"/>
    <x:col min="5" max="5" width="14" hidden="0" customWidth="1"/>
    <x:col min="6" max="6" width="12" hidden="0" customWidth="1"/>
    <x:col min="7" max="7" width="12" hidden="0" customWidth="1"/>
    <x:col min="8" max="8" width="12" hidden="0" customWidth="1"/>
    <x:col min="9" max="9" width="14" hidden="0" customWidth="1"/>
  </x:cols>
  <x:sheetData>
    <x:row r="1" ht="34" customHeight="1">
      <x:c r="A1" s="3" t="str">
        <x:v>Global food-access indicators</x:v>
      </x:c>
      <x:c r="B1" s="3"/>
      <x:c r="C1" s="3"/>
      <x:c r="D1" s="3"/>
      <x:c r="E1" s="3"/>
      <x:c r="F1" s="3"/>
      <x:c r="G1" s="3"/>
      <x:c r="H1" s="3"/>
      <x:c r="I1" s="3"/>
    </x:row>
    <x:row r="2" ht="30" customHeight="1">
      <x:c r="A2" s="7" t="str">
        <x:v>Latest selected FAOSTAT values; do not compare these population measures as if they were USDA household or tract measures</x:v>
      </x:c>
      <x:c r="B2" s="7"/>
      <x:c r="C2" s="7"/>
      <x:c r="D2" s="7"/>
      <x:c r="E2" s="7"/>
      <x:c r="F2" s="7"/>
      <x:c r="G2" s="7"/>
      <x:c r="H2" s="7"/>
      <x:c r="I2" s="7"/>
    </x:row>
    <x:row r="4" ht="34" customHeight="1">
      <x:c r="A4" s="16" t="str">
        <x:v>geography</x:v>
      </x:c>
      <x:c r="B4" s="131" t="str">
        <x:v>indicator</x:v>
      </x:c>
      <x:c r="C4" s="131" t="str">
        <x:v>period</x:v>
      </x:c>
      <x:c r="D4" s="131" t="str">
        <x:v>unit</x:v>
      </x:c>
      <x:c r="E4" s="131" t="str">
        <x:v>display_value</x:v>
      </x:c>
      <x:c r="F4" s="131" t="str">
        <x:v>value</x:v>
      </x:c>
      <x:c r="G4" s="131" t="str">
        <x:v>lower_bound</x:v>
      </x:c>
      <x:c r="H4" s="131" t="str">
        <x:v>upper_bound</x:v>
      </x:c>
      <x:c r="I4" s="17" t="str">
        <x:v>source_id</x:v>
      </x:c>
    </x:row>
    <x:row r="5">
      <x:c r="A5" s="132" t="str">
        <x:v>World</x:v>
      </x:c>
      <x:c r="B5" s="132" t="str">
        <x:v>Prevalence of moderate or severe food insecurity in the total population (percent) (3-year average)</x:v>
      </x:c>
      <x:c r="C5" s="132" t="str">
        <x:v>2023-2025</x:v>
      </x:c>
      <x:c r="D5" s="132" t="str">
        <x:v>%</x:v>
      </x:c>
      <x:c r="E5" s="132" t="str">
        <x:v>26.8</x:v>
      </x:c>
      <x:c r="F5" s="133" t="n">
        <x:v>26.8</x:v>
      </x:c>
      <x:c r="G5" s="133" t="n">
        <x:v>26.3</x:v>
      </x:c>
      <x:c r="H5" s="133" t="n">
        <x:v>27.3</x:v>
      </x:c>
      <x:c r="I5" s="132" t="str">
        <x:v>FAO_FS</x:v>
      </x:c>
    </x:row>
    <x:row r="6">
      <x:c r="A6" s="132" t="str">
        <x:v>Africa</x:v>
      </x:c>
      <x:c r="B6" s="132" t="str">
        <x:v>Prevalence of moderate or severe food insecurity in the total population (percent) (3-year average)</x:v>
      </x:c>
      <x:c r="C6" s="132" t="str">
        <x:v>2023-2025</x:v>
      </x:c>
      <x:c r="D6" s="132" t="str">
        <x:v>%</x:v>
      </x:c>
      <x:c r="E6" s="132" t="str">
        <x:v>57.4</x:v>
      </x:c>
      <x:c r="F6" s="133" t="n">
        <x:v>57.4</x:v>
      </x:c>
      <x:c r="G6" s="133" t="n">
        <x:v>56.8</x:v>
      </x:c>
      <x:c r="H6" s="133" t="n">
        <x:v>58.1</x:v>
      </x:c>
      <x:c r="I6" s="132" t="str">
        <x:v>FAO_FS</x:v>
      </x:c>
    </x:row>
    <x:row r="7">
      <x:c r="A7" s="132" t="str">
        <x:v>Asia</x:v>
      </x:c>
      <x:c r="B7" s="132" t="str">
        <x:v>Prevalence of moderate or severe food insecurity in the total population (percent) (3-year average)</x:v>
      </x:c>
      <x:c r="C7" s="132" t="str">
        <x:v>2023-2025</x:v>
      </x:c>
      <x:c r="D7" s="132" t="str">
        <x:v>%</x:v>
      </x:c>
      <x:c r="E7" s="132" t="str">
        <x:v>21.8</x:v>
      </x:c>
      <x:c r="F7" s="133" t="n">
        <x:v>21.8</x:v>
      </x:c>
      <x:c r="G7" s="133" t="n">
        <x:v>21</x:v>
      </x:c>
      <x:c r="H7" s="133" t="n">
        <x:v>22.6</x:v>
      </x:c>
      <x:c r="I7" s="132" t="str">
        <x:v>FAO_FS</x:v>
      </x:c>
    </x:row>
    <x:row r="8">
      <x:c r="A8" s="132" t="str">
        <x:v>Europe</x:v>
      </x:c>
      <x:c r="B8" s="132" t="str">
        <x:v>Prevalence of moderate or severe food insecurity in the total population (percent) (3-year average)</x:v>
      </x:c>
      <x:c r="C8" s="132" t="str">
        <x:v>2023-2025</x:v>
      </x:c>
      <x:c r="D8" s="132" t="str">
        <x:v>%</x:v>
      </x:c>
      <x:c r="E8" s="132" t="str">
        <x:v>7.4</x:v>
      </x:c>
      <x:c r="F8" s="133" t="n">
        <x:v>7.4</x:v>
      </x:c>
      <x:c r="G8" s="133" t="n">
        <x:v>7</x:v>
      </x:c>
      <x:c r="H8" s="133" t="n">
        <x:v>7.7</x:v>
      </x:c>
      <x:c r="I8" s="132" t="str">
        <x:v>FAO_FS</x:v>
      </x:c>
    </x:row>
    <x:row r="9">
      <x:c r="A9" s="132" t="str">
        <x:v>Latin America and the Caribbean</x:v>
      </x:c>
      <x:c r="B9" s="132" t="str">
        <x:v>Prevalence of moderate or severe food insecurity in the total population (percent) (3-year average)</x:v>
      </x:c>
      <x:c r="C9" s="132" t="str">
        <x:v>2023-2025</x:v>
      </x:c>
      <x:c r="D9" s="132" t="str">
        <x:v>%</x:v>
      </x:c>
      <x:c r="E9" s="132" t="str">
        <x:v>24.2</x:v>
      </x:c>
      <x:c r="F9" s="133" t="n">
        <x:v>24.2</x:v>
      </x:c>
      <x:c r="G9" s="133" t="n">
        <x:v>23.8</x:v>
      </x:c>
      <x:c r="H9" s="133" t="n">
        <x:v>24.6</x:v>
      </x:c>
      <x:c r="I9" s="132" t="str">
        <x:v>FAO_FS</x:v>
      </x:c>
    </x:row>
    <x:row r="10">
      <x:c r="A10" s="132" t="str">
        <x:v>Oceania</x:v>
      </x:c>
      <x:c r="B10" s="132" t="str">
        <x:v>Prevalence of moderate or severe food insecurity in the total population (percent) (3-year average)</x:v>
      </x:c>
      <x:c r="C10" s="132" t="str">
        <x:v>2023-2025</x:v>
      </x:c>
      <x:c r="D10" s="132" t="str">
        <x:v>%</x:v>
      </x:c>
      <x:c r="E10" s="132" t="str">
        <x:v>26.7</x:v>
      </x:c>
      <x:c r="F10" s="133" t="n">
        <x:v>26.7</x:v>
      </x:c>
      <x:c r="G10" s="133" t="n">
        <x:v>25.4</x:v>
      </x:c>
      <x:c r="H10" s="133" t="n">
        <x:v>27.9</x:v>
      </x:c>
      <x:c r="I10" s="132" t="str">
        <x:v>FAO_FS</x:v>
      </x:c>
    </x:row>
    <x:row r="11">
      <x:c r="A11" s="132" t="str">
        <x:v>United States of America</x:v>
      </x:c>
      <x:c r="B11" s="132" t="str">
        <x:v>Prevalence of moderate or severe food insecurity in the total population (percent) (3-year average)</x:v>
      </x:c>
      <x:c r="C11" s="132" t="str">
        <x:v>2023-2025</x:v>
      </x:c>
      <x:c r="D11" s="132" t="str">
        <x:v>%</x:v>
      </x:c>
      <x:c r="E11" s="132" t="str">
        <x:v>10.7</x:v>
      </x:c>
      <x:c r="F11" s="133" t="n">
        <x:v>10.7</x:v>
      </x:c>
      <x:c r="G11" s="133" t="n">
        <x:v>10.4</x:v>
      </x:c>
      <x:c r="H11" s="133" t="n">
        <x:v>11</x:v>
      </x:c>
      <x:c r="I11" s="132" t="str">
        <x:v>FAO_FS</x:v>
      </x:c>
    </x:row>
    <x:row r="12">
      <x:c r="A12" s="132" t="str">
        <x:v>World</x:v>
      </x:c>
      <x:c r="B12" s="132" t="str">
        <x:v>Prevalence of severe food insecurity in the total population (percent) (3-year average)</x:v>
      </x:c>
      <x:c r="C12" s="132" t="str">
        <x:v>2023-2025</x:v>
      </x:c>
      <x:c r="D12" s="132" t="str">
        <x:v>%</x:v>
      </x:c>
      <x:c r="E12" s="132" t="str">
        <x:v>9.8</x:v>
      </x:c>
      <x:c r="F12" s="133" t="n">
        <x:v>9.8</x:v>
      </x:c>
      <x:c r="G12" s="133" t="n">
        <x:v>9.4</x:v>
      </x:c>
      <x:c r="H12" s="133" t="n">
        <x:v>10.1</x:v>
      </x:c>
      <x:c r="I12" s="132" t="str">
        <x:v>FAO_FS</x:v>
      </x:c>
    </x:row>
    <x:row r="13">
      <x:c r="A13" s="132" t="str">
        <x:v>Africa</x:v>
      </x:c>
      <x:c r="B13" s="132" t="str">
        <x:v>Prevalence of severe food insecurity in the total population (percent) (3-year average)</x:v>
      </x:c>
      <x:c r="C13" s="132" t="str">
        <x:v>2023-2025</x:v>
      </x:c>
      <x:c r="D13" s="132" t="str">
        <x:v>%</x:v>
      </x:c>
      <x:c r="E13" s="132" t="str">
        <x:v>21.1</x:v>
      </x:c>
      <x:c r="F13" s="133" t="n">
        <x:v>21.1</x:v>
      </x:c>
      <x:c r="G13" s="133" t="n">
        <x:v>20.7</x:v>
      </x:c>
      <x:c r="H13" s="133" t="n">
        <x:v>21.5</x:v>
      </x:c>
      <x:c r="I13" s="132" t="str">
        <x:v>FAO_FS</x:v>
      </x:c>
    </x:row>
    <x:row r="14">
      <x:c r="A14" s="132" t="str">
        <x:v>Asia</x:v>
      </x:c>
      <x:c r="B14" s="132" t="str">
        <x:v>Prevalence of severe food insecurity in the total population (percent) (3-year average)</x:v>
      </x:c>
      <x:c r="C14" s="132" t="str">
        <x:v>2023-2025</x:v>
      </x:c>
      <x:c r="D14" s="132" t="str">
        <x:v>%</x:v>
      </x:c>
      <x:c r="E14" s="132" t="str">
        <x:v>8.6</x:v>
      </x:c>
      <x:c r="F14" s="133" t="n">
        <x:v>8.6</x:v>
      </x:c>
      <x:c r="G14" s="133" t="n">
        <x:v>8</x:v>
      </x:c>
      <x:c r="H14" s="133" t="n">
        <x:v>9.1</x:v>
      </x:c>
      <x:c r="I14" s="132" t="str">
        <x:v>FAO_FS</x:v>
      </x:c>
    </x:row>
    <x:row r="15">
      <x:c r="A15" s="132" t="str">
        <x:v>Europe</x:v>
      </x:c>
      <x:c r="B15" s="132" t="str">
        <x:v>Prevalence of severe food insecurity in the total population (percent) (3-year average)</x:v>
      </x:c>
      <x:c r="C15" s="132" t="str">
        <x:v>2023-2025</x:v>
      </x:c>
      <x:c r="D15" s="132" t="str">
        <x:v>%</x:v>
      </x:c>
      <x:c r="E15" s="132" t="str">
        <x:v>1.9</x:v>
      </x:c>
      <x:c r="F15" s="133" t="n">
        <x:v>1.9</x:v>
      </x:c>
      <x:c r="G15" s="133" t="n">
        <x:v>1.7</x:v>
      </x:c>
      <x:c r="H15" s="133" t="n">
        <x:v>2.2</x:v>
      </x:c>
      <x:c r="I15" s="132" t="str">
        <x:v>FAO_FS</x:v>
      </x:c>
    </x:row>
    <x:row r="16">
      <x:c r="A16" s="132" t="str">
        <x:v>Latin America and the Caribbean</x:v>
      </x:c>
      <x:c r="B16" s="132" t="str">
        <x:v>Prevalence of severe food insecurity in the total population (percent) (3-year average)</x:v>
      </x:c>
      <x:c r="C16" s="132" t="str">
        <x:v>2023-2025</x:v>
      </x:c>
      <x:c r="D16" s="132" t="str">
        <x:v>%</x:v>
      </x:c>
      <x:c r="E16" s="132" t="str">
        <x:v>6.7</x:v>
      </x:c>
      <x:c r="F16" s="133" t="n">
        <x:v>6.7</x:v>
      </x:c>
      <x:c r="G16" s="133" t="n">
        <x:v>6.3</x:v>
      </x:c>
      <x:c r="H16" s="133" t="n">
        <x:v>7</x:v>
      </x:c>
      <x:c r="I16" s="132" t="str">
        <x:v>FAO_FS</x:v>
      </x:c>
    </x:row>
    <x:row r="17">
      <x:c r="A17" s="132" t="str">
        <x:v>Oceania</x:v>
      </x:c>
      <x:c r="B17" s="132" t="str">
        <x:v>Prevalence of severe food insecurity in the total population (percent) (3-year average)</x:v>
      </x:c>
      <x:c r="C17" s="132" t="str">
        <x:v>2023-2025</x:v>
      </x:c>
      <x:c r="D17" s="132" t="str">
        <x:v>%</x:v>
      </x:c>
      <x:c r="E17" s="132" t="str">
        <x:v>10.3</x:v>
      </x:c>
      <x:c r="F17" s="133" t="n">
        <x:v>10.3</x:v>
      </x:c>
      <x:c r="G17" s="133" t="n">
        <x:v>9.6</x:v>
      </x:c>
      <x:c r="H17" s="133" t="n">
        <x:v>10.9</x:v>
      </x:c>
      <x:c r="I17" s="132" t="str">
        <x:v>FAO_FS</x:v>
      </x:c>
    </x:row>
    <x:row r="18">
      <x:c r="A18" s="132" t="str">
        <x:v>United States of America</x:v>
      </x:c>
      <x:c r="B18" s="132" t="str">
        <x:v>Prevalence of severe food insecurity in the total population (percent) (3-year average)</x:v>
      </x:c>
      <x:c r="C18" s="132" t="str">
        <x:v>2023-2025</x:v>
      </x:c>
      <x:c r="D18" s="132" t="str">
        <x:v>%</x:v>
      </x:c>
      <x:c r="E18" s="132" t="str">
        <x:v>1.1</x:v>
      </x:c>
      <x:c r="F18" s="133" t="n">
        <x:v>1.1</x:v>
      </x:c>
      <x:c r="G18" s="133" t="n">
        <x:v>1</x:v>
      </x:c>
      <x:c r="H18" s="133" t="n">
        <x:v>1.2</x:v>
      </x:c>
      <x:c r="I18" s="132" t="str">
        <x:v>FAO_FS</x:v>
      </x:c>
    </x:row>
    <x:row r="19">
      <x:c r="A19" s="132" t="str">
        <x:v>World</x:v>
      </x:c>
      <x:c r="B19" s="132" t="str">
        <x:v>Prevalence of undernourishment (percent) (3-year average)</x:v>
      </x:c>
      <x:c r="C19" s="132" t="str">
        <x:v>2023-2025</x:v>
      </x:c>
      <x:c r="D19" s="132" t="str">
        <x:v>%</x:v>
      </x:c>
      <x:c r="E19" s="132" t="str">
        <x:v>8.1</x:v>
      </x:c>
      <x:c r="F19" s="133" t="n">
        <x:v>8.1</x:v>
      </x:c>
      <x:c r="G19" s="133"/>
      <x:c r="H19" s="133"/>
      <x:c r="I19" s="132" t="str">
        <x:v>FAO_FS</x:v>
      </x:c>
    </x:row>
    <x:row r="20">
      <x:c r="A20" s="132" t="str">
        <x:v>Africa</x:v>
      </x:c>
      <x:c r="B20" s="132" t="str">
        <x:v>Prevalence of undernourishment (percent) (3-year average)</x:v>
      </x:c>
      <x:c r="C20" s="132" t="str">
        <x:v>2023-2025</x:v>
      </x:c>
      <x:c r="D20" s="132" t="str">
        <x:v>%</x:v>
      </x:c>
      <x:c r="E20" s="132" t="str">
        <x:v>20.1</x:v>
      </x:c>
      <x:c r="F20" s="133" t="n">
        <x:v>20.1</x:v>
      </x:c>
      <x:c r="G20" s="133"/>
      <x:c r="H20" s="133"/>
      <x:c r="I20" s="132" t="str">
        <x:v>FAO_FS</x:v>
      </x:c>
    </x:row>
    <x:row r="21">
      <x:c r="A21" s="132" t="str">
        <x:v>Asia</x:v>
      </x:c>
      <x:c r="B21" s="132" t="str">
        <x:v>Prevalence of undernourishment (percent) (3-year average)</x:v>
      </x:c>
      <x:c r="C21" s="132" t="str">
        <x:v>2023-2025</x:v>
      </x:c>
      <x:c r="D21" s="132" t="str">
        <x:v>%</x:v>
      </x:c>
      <x:c r="E21" s="132" t="str">
        <x:v>6.5</x:v>
      </x:c>
      <x:c r="F21" s="133" t="n">
        <x:v>6.5</x:v>
      </x:c>
      <x:c r="G21" s="133"/>
      <x:c r="H21" s="133"/>
      <x:c r="I21" s="132" t="str">
        <x:v>FAO_FS</x:v>
      </x:c>
    </x:row>
    <x:row r="22">
      <x:c r="A22" s="132" t="str">
        <x:v>Europe</x:v>
      </x:c>
      <x:c r="B22" s="132" t="str">
        <x:v>Prevalence of undernourishment (percent) (3-year average)</x:v>
      </x:c>
      <x:c r="C22" s="132" t="str">
        <x:v>2023-2025</x:v>
      </x:c>
      <x:c r="D22" s="132" t="str">
        <x:v>%</x:v>
      </x:c>
      <x:c r="E22" s="132" t="str">
        <x:v>&lt;2.5</x:v>
      </x:c>
      <x:c r="F22" s="133" t="n">
        <x:v>2.5</x:v>
      </x:c>
      <x:c r="G22" s="133"/>
      <x:c r="H22" s="133"/>
      <x:c r="I22" s="132" t="str">
        <x:v>FAO_FS</x:v>
      </x:c>
    </x:row>
    <x:row r="23">
      <x:c r="A23" s="132" t="str">
        <x:v>Latin America and the Caribbean</x:v>
      </x:c>
      <x:c r="B23" s="132" t="str">
        <x:v>Prevalence of undernourishment (percent) (3-year average)</x:v>
      </x:c>
      <x:c r="C23" s="132" t="str">
        <x:v>2023-2025</x:v>
      </x:c>
      <x:c r="D23" s="132" t="str">
        <x:v>%</x:v>
      </x:c>
      <x:c r="E23" s="132" t="str">
        <x:v>5.1</x:v>
      </x:c>
      <x:c r="F23" s="133" t="n">
        <x:v>5.1</x:v>
      </x:c>
      <x:c r="G23" s="133"/>
      <x:c r="H23" s="133"/>
      <x:c r="I23" s="132" t="str">
        <x:v>FAO_FS</x:v>
      </x:c>
    </x:row>
    <x:row r="24">
      <x:c r="A24" s="132" t="str">
        <x:v>Oceania</x:v>
      </x:c>
      <x:c r="B24" s="132" t="str">
        <x:v>Prevalence of undernourishment (percent) (3-year average)</x:v>
      </x:c>
      <x:c r="C24" s="132" t="str">
        <x:v>2023-2025</x:v>
      </x:c>
      <x:c r="D24" s="132" t="str">
        <x:v>%</x:v>
      </x:c>
      <x:c r="E24" s="132" t="str">
        <x:v>8.2</x:v>
      </x:c>
      <x:c r="F24" s="133" t="n">
        <x:v>8.2</x:v>
      </x:c>
      <x:c r="G24" s="133"/>
      <x:c r="H24" s="133"/>
      <x:c r="I24" s="132" t="str">
        <x:v>FAO_FS</x:v>
      </x:c>
    </x:row>
    <x:row r="25">
      <x:c r="A25" s="132" t="str">
        <x:v>United States of America</x:v>
      </x:c>
      <x:c r="B25" s="132" t="str">
        <x:v>Prevalence of undernourishment (percent) (3-year average)</x:v>
      </x:c>
      <x:c r="C25" s="132" t="str">
        <x:v>2023-2025</x:v>
      </x:c>
      <x:c r="D25" s="132" t="str">
        <x:v>%</x:v>
      </x:c>
      <x:c r="E25" s="132" t="str">
        <x:v>&lt;2.5</x:v>
      </x:c>
      <x:c r="F25" s="133" t="n">
        <x:v>2.5</x:v>
      </x:c>
      <x:c r="G25" s="133"/>
      <x:c r="H25" s="133"/>
      <x:c r="I25" s="132" t="str">
        <x:v>FAO_FS</x:v>
      </x:c>
    </x:row>
    <x:row r="26">
      <x:c r="A26" s="132" t="str">
        <x:v>United States of America</x:v>
      </x:c>
      <x:c r="B26" s="132" t="str">
        <x:v>Prevalence of unaffordability (PUA)</x:v>
      </x:c>
      <x:c r="C26" s="132" t="str">
        <x:v>2025</x:v>
      </x:c>
      <x:c r="D26" s="132" t="str">
        <x:v>%</x:v>
      </x:c>
      <x:c r="E26" s="132" t="str">
        <x:v>4.5</x:v>
      </x:c>
      <x:c r="F26" s="133" t="n">
        <x:v>4.5</x:v>
      </x:c>
      <x:c r="G26" s="133"/>
      <x:c r="H26" s="133"/>
      <x:c r="I26" s="132" t="str">
        <x:v>FAO_COAHD</x:v>
      </x:c>
    </x:row>
    <x:row r="27">
      <x:c r="A27" s="132" t="str">
        <x:v>World</x:v>
      </x:c>
      <x:c r="B27" s="132" t="str">
        <x:v>Prevalence of unaffordability (PUA)</x:v>
      </x:c>
      <x:c r="C27" s="132" t="str">
        <x:v>2025</x:v>
      </x:c>
      <x:c r="D27" s="132" t="str">
        <x:v>%</x:v>
      </x:c>
      <x:c r="E27" s="132" t="str">
        <x:v>32.7</x:v>
      </x:c>
      <x:c r="F27" s="133" t="n">
        <x:v>32.7</x:v>
      </x:c>
      <x:c r="G27" s="133"/>
      <x:c r="H27" s="133"/>
      <x:c r="I27" s="132" t="str">
        <x:v>FAO_COAHD</x:v>
      </x:c>
    </x:row>
    <x:row r="28">
      <x:c r="A28" s="132" t="str">
        <x:v>Africa</x:v>
      </x:c>
      <x:c r="B28" s="132" t="str">
        <x:v>Prevalence of unaffordability (PUA)</x:v>
      </x:c>
      <x:c r="C28" s="132" t="str">
        <x:v>2025</x:v>
      </x:c>
      <x:c r="D28" s="132" t="str">
        <x:v>%</x:v>
      </x:c>
      <x:c r="E28" s="132" t="str">
        <x:v>66.6</x:v>
      </x:c>
      <x:c r="F28" s="133" t="n">
        <x:v>66.6</x:v>
      </x:c>
      <x:c r="G28" s="133"/>
      <x:c r="H28" s="133"/>
      <x:c r="I28" s="132" t="str">
        <x:v>FAO_COAHD</x:v>
      </x:c>
    </x:row>
    <x:row r="29">
      <x:c r="A29" s="132" t="str">
        <x:v>Europe</x:v>
      </x:c>
      <x:c r="B29" s="132" t="str">
        <x:v>Prevalence of unaffordability (PUA)</x:v>
      </x:c>
      <x:c r="C29" s="132" t="str">
        <x:v>2025</x:v>
      </x:c>
      <x:c r="D29" s="132" t="str">
        <x:v>%</x:v>
      </x:c>
      <x:c r="E29" s="132" t="str">
        <x:v>8.2</x:v>
      </x:c>
      <x:c r="F29" s="133" t="n">
        <x:v>8.2</x:v>
      </x:c>
      <x:c r="G29" s="133"/>
      <x:c r="H29" s="133"/>
      <x:c r="I29" s="132" t="str">
        <x:v>FAO_COAHD</x:v>
      </x:c>
    </x:row>
    <x:row r="30">
      <x:c r="A30" s="132" t="str">
        <x:v>Latin America and the Caribbean</x:v>
      </x:c>
      <x:c r="B30" s="132" t="str">
        <x:v>Prevalence of unaffordability (PUA)</x:v>
      </x:c>
      <x:c r="C30" s="132" t="str">
        <x:v>2025</x:v>
      </x:c>
      <x:c r="D30" s="132" t="str">
        <x:v>%</x:v>
      </x:c>
      <x:c r="E30" s="132" t="str">
        <x:v>25.7</x:v>
      </x:c>
      <x:c r="F30" s="133" t="n">
        <x:v>25.7</x:v>
      </x:c>
      <x:c r="G30" s="133"/>
      <x:c r="H30" s="133"/>
      <x:c r="I30" s="132" t="str">
        <x:v>FAO_COAHD</x:v>
      </x:c>
    </x:row>
    <x:row r="31">
      <x:c r="A31" s="132" t="str">
        <x:v>Asia</x:v>
      </x:c>
      <x:c r="B31" s="132" t="str">
        <x:v>Prevalence of unaffordability (PUA)</x:v>
      </x:c>
      <x:c r="C31" s="132" t="str">
        <x:v>2025</x:v>
      </x:c>
      <x:c r="D31" s="132" t="str">
        <x:v>%</x:v>
      </x:c>
      <x:c r="E31" s="132" t="str">
        <x:v>28.9</x:v>
      </x:c>
      <x:c r="F31" s="133" t="n">
        <x:v>28.9</x:v>
      </x:c>
      <x:c r="G31" s="133"/>
      <x:c r="H31" s="133"/>
      <x:c r="I31" s="132" t="str">
        <x:v>FAO_COAHD</x:v>
      </x:c>
    </x:row>
    <x:row r="32">
      <x:c r="A32" s="132" t="str">
        <x:v>Oceania</x:v>
      </x:c>
      <x:c r="B32" s="132" t="str">
        <x:v>Prevalence of unaffordability (PUA)</x:v>
      </x:c>
      <x:c r="C32" s="132" t="str">
        <x:v>2025</x:v>
      </x:c>
      <x:c r="D32" s="132" t="str">
        <x:v>%</x:v>
      </x:c>
      <x:c r="E32" s="132" t="str">
        <x:v>5.0</x:v>
      </x:c>
      <x:c r="F32" s="133" t="n">
        <x:v>5</x:v>
      </x:c>
      <x:c r="G32" s="133"/>
      <x:c r="H32" s="133"/>
      <x:c r="I32" s="132" t="str">
        <x:v>FAO_COAHD</x:v>
      </x:c>
    </x:row>
    <x:row r="33">
      <x:c r="A33" s="132" t="str">
        <x:v>United States of America</x:v>
      </x:c>
      <x:c r="B33" s="132" t="str">
        <x:v>Number of people unable to afford a healthy diet (NUA)</x:v>
      </x:c>
      <x:c r="C33" s="132" t="str">
        <x:v>2025</x:v>
      </x:c>
      <x:c r="D33" s="132" t="str">
        <x:v>million No</x:v>
      </x:c>
      <x:c r="E33" s="132" t="str">
        <x:v>15.7</x:v>
      </x:c>
      <x:c r="F33" s="133" t="n">
        <x:v>15.7</x:v>
      </x:c>
      <x:c r="G33" s="133"/>
      <x:c r="H33" s="133"/>
      <x:c r="I33" s="132" t="str">
        <x:v>FAO_COAHD</x:v>
      </x:c>
    </x:row>
    <x:row r="34">
      <x:c r="A34" s="132" t="str">
        <x:v>World</x:v>
      </x:c>
      <x:c r="B34" s="132" t="str">
        <x:v>Number of people unable to afford a healthy diet (NUA)</x:v>
      </x:c>
      <x:c r="C34" s="132" t="str">
        <x:v>2025</x:v>
      </x:c>
      <x:c r="D34" s="132" t="str">
        <x:v>million No</x:v>
      </x:c>
      <x:c r="E34" s="132" t="str">
        <x:v>2692.1</x:v>
      </x:c>
      <x:c r="F34" s="133" t="n">
        <x:v>2692.1</x:v>
      </x:c>
      <x:c r="G34" s="133"/>
      <x:c r="H34" s="133"/>
      <x:c r="I34" s="132" t="str">
        <x:v>FAO_COAHD</x:v>
      </x:c>
    </x:row>
    <x:row r="35">
      <x:c r="A35" s="132" t="str">
        <x:v>Africa</x:v>
      </x:c>
      <x:c r="B35" s="132" t="str">
        <x:v>Number of people unable to afford a healthy diet (NUA)</x:v>
      </x:c>
      <x:c r="C35" s="132" t="str">
        <x:v>2025</x:v>
      </x:c>
      <x:c r="D35" s="132" t="str">
        <x:v>million No</x:v>
      </x:c>
      <x:c r="E35" s="132" t="str">
        <x:v>1031.2</x:v>
      </x:c>
      <x:c r="F35" s="133" t="n">
        <x:v>1031.2</x:v>
      </x:c>
      <x:c r="G35" s="133"/>
      <x:c r="H35" s="133"/>
      <x:c r="I35" s="132" t="str">
        <x:v>FAO_COAHD</x:v>
      </x:c>
    </x:row>
    <x:row r="36">
      <x:c r="A36" s="132" t="str">
        <x:v>Europe</x:v>
      </x:c>
      <x:c r="B36" s="132" t="str">
        <x:v>Number of people unable to afford a healthy diet (NUA)</x:v>
      </x:c>
      <x:c r="C36" s="132" t="str">
        <x:v>2025</x:v>
      </x:c>
      <x:c r="D36" s="132" t="str">
        <x:v>million No</x:v>
      </x:c>
      <x:c r="E36" s="132" t="str">
        <x:v>61.0</x:v>
      </x:c>
      <x:c r="F36" s="133" t="n">
        <x:v>61</x:v>
      </x:c>
      <x:c r="G36" s="133"/>
      <x:c r="H36" s="133"/>
      <x:c r="I36" s="132" t="str">
        <x:v>FAO_COAHD</x:v>
      </x:c>
    </x:row>
    <x:row r="37">
      <x:c r="A37" s="132" t="str">
        <x:v>Latin America and the Caribbean</x:v>
      </x:c>
      <x:c r="B37" s="132" t="str">
        <x:v>Number of people unable to afford a healthy diet (NUA)</x:v>
      </x:c>
      <x:c r="C37" s="132" t="str">
        <x:v>2025</x:v>
      </x:c>
      <x:c r="D37" s="132" t="str">
        <x:v>million No</x:v>
      </x:c>
      <x:c r="E37" s="132" t="str">
        <x:v>172.0</x:v>
      </x:c>
      <x:c r="F37" s="133" t="n">
        <x:v>172</x:v>
      </x:c>
      <x:c r="G37" s="133"/>
      <x:c r="H37" s="133"/>
      <x:c r="I37" s="132" t="str">
        <x:v>FAO_COAHD</x:v>
      </x:c>
    </x:row>
    <x:row r="38">
      <x:c r="A38" s="132" t="str">
        <x:v>Asia</x:v>
      </x:c>
      <x:c r="B38" s="132" t="str">
        <x:v>Number of people unable to afford a healthy diet (NUA)</x:v>
      </x:c>
      <x:c r="C38" s="132" t="str">
        <x:v>2025</x:v>
      </x:c>
      <x:c r="D38" s="132" t="str">
        <x:v>million No</x:v>
      </x:c>
      <x:c r="E38" s="132" t="str">
        <x:v>1399.1</x:v>
      </x:c>
      <x:c r="F38" s="133" t="n">
        <x:v>1399.1</x:v>
      </x:c>
      <x:c r="G38" s="133"/>
      <x:c r="H38" s="133"/>
      <x:c r="I38" s="132" t="str">
        <x:v>FAO_COAHD</x:v>
      </x:c>
    </x:row>
    <x:row r="39">
      <x:c r="A39" s="132" t="str">
        <x:v>Oceania</x:v>
      </x:c>
      <x:c r="B39" s="132" t="str">
        <x:v>Number of people unable to afford a healthy diet (NUA)</x:v>
      </x:c>
      <x:c r="C39" s="132" t="str">
        <x:v>2025</x:v>
      </x:c>
      <x:c r="D39" s="132" t="str">
        <x:v>million No</x:v>
      </x:c>
      <x:c r="E39" s="132" t="str">
        <x:v>2.3</x:v>
      </x:c>
      <x:c r="F39" s="133" t="n">
        <x:v>2.3</x:v>
      </x:c>
      <x:c r="G39" s="133"/>
      <x:c r="H39" s="133"/>
      <x:c r="I39" s="132" t="str">
        <x:v>FAO_COAHD</x:v>
      </x:c>
    </x:row>
  </x:sheetData>
  <x:mergeCells>
    <x:mergeCell ref="A1:I1"/>
    <x:mergeCell ref="A2:I2"/>
  </x:mergeCells>
  <x:pageMargins left="0.7" right="0.7" top="0.75" bottom="0.75" header="0.3" footer="0.3"/>
  <x:tableParts count="1">
    <x:tablePart xmlns:r="http://schemas.openxmlformats.org/officeDocument/2006/relationships" r:id="Rdb57486f3bae4b7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18" hidden="0" customWidth="1"/>
    <x:col min="4" max="4" width="19" hidden="0" customWidth="1"/>
    <x:col min="5" max="5" width="22" hidden="0" customWidth="1"/>
    <x:col min="6" max="6" width="21" hidden="0" customWidth="1"/>
  </x:cols>
  <x:sheetData>
    <x:row r="1" ht="34" customHeight="1">
      <x:c r="A1" s="3" t="str">
        <x:v>U.S. and state household food insecurity</x:v>
      </x:c>
      <x:c r="B1" s="3"/>
      <x:c r="C1" s="3"/>
      <x:c r="D1" s="3"/>
      <x:c r="E1" s="3"/>
      <x:c r="F1" s="3"/>
    </x:row>
    <x:row r="2" ht="30" customHeight="1">
      <x:c r="A2" s="7" t="str">
        <x:v>USDA ERS 2022–2024 state averages; margins of error are percentage points</x:v>
      </x:c>
      <x:c r="B2" s="7"/>
      <x:c r="C2" s="7"/>
      <x:c r="D2" s="7"/>
      <x:c r="E2" s="7"/>
      <x:c r="F2" s="7"/>
    </x:row>
    <x:row r="4" ht="34" customHeight="1">
      <x:c r="A4" s="16" t="str">
        <x:v>period</x:v>
      </x:c>
      <x:c r="B4" s="131" t="str">
        <x:v>state_abbr</x:v>
      </x:c>
      <x:c r="C4" s="131" t="str">
        <x:v>food_insecurity_pct</x:v>
      </x:c>
      <x:c r="D4" s="131" t="str">
        <x:v>food_insecurity_moe_pp</x:v>
      </x:c>
      <x:c r="E4" s="131" t="str">
        <x:v>very_low_food_security_pct</x:v>
      </x:c>
      <x:c r="F4" s="17" t="str">
        <x:v>very_low_food_security_moe_pp</x:v>
      </x:c>
    </x:row>
    <x:row r="5">
      <x:c r="A5" s="132" t="str">
        <x:v>2022-2024</x:v>
      </x:c>
      <x:c r="B5" s="132" t="str">
        <x:v>U.S.</x:v>
      </x:c>
      <x:c r="C5" s="133" t="n">
        <x:v>13.3</x:v>
      </x:c>
      <x:c r="D5" s="133" t="n">
        <x:v>0.4</x:v>
      </x:c>
      <x:c r="E5" s="133" t="n">
        <x:v>5.2</x:v>
      </x:c>
      <x:c r="F5" s="133" t="n">
        <x:v>0.21</x:v>
      </x:c>
    </x:row>
    <x:row r="6">
      <x:c r="A6" s="132" t="str">
        <x:v>2022-2024</x:v>
      </x:c>
      <x:c r="B6" s="132" t="str">
        <x:v>AK</x:v>
      </x:c>
      <x:c r="C6" s="133" t="n">
        <x:v>13</x:v>
      </x:c>
      <x:c r="D6" s="133" t="n">
        <x:v>2.53</x:v>
      </x:c>
      <x:c r="E6" s="133" t="n">
        <x:v>6.5</x:v>
      </x:c>
      <x:c r="F6" s="133" t="n">
        <x:v>2.1</x:v>
      </x:c>
    </x:row>
    <x:row r="7">
      <x:c r="A7" s="132" t="str">
        <x:v>2022-2024</x:v>
      </x:c>
      <x:c r="B7" s="132" t="str">
        <x:v>AL</x:v>
      </x:c>
      <x:c r="C7" s="133" t="n">
        <x:v>12.1</x:v>
      </x:c>
      <x:c r="D7" s="133" t="n">
        <x:v>2.23</x:v>
      </x:c>
      <x:c r="E7" s="133" t="n">
        <x:v>4.6</x:v>
      </x:c>
      <x:c r="F7" s="133" t="n">
        <x:v>1.31</x:v>
      </x:c>
    </x:row>
    <x:row r="8">
      <x:c r="A8" s="132" t="str">
        <x:v>2022-2024</x:v>
      </x:c>
      <x:c r="B8" s="132" t="str">
        <x:v>AR</x:v>
      </x:c>
      <x:c r="C8" s="133" t="n">
        <x:v>19.4</x:v>
      </x:c>
      <x:c r="D8" s="133" t="n">
        <x:v>1.67</x:v>
      </x:c>
      <x:c r="E8" s="133" t="n">
        <x:v>7.6</x:v>
      </x:c>
      <x:c r="F8" s="133" t="n">
        <x:v>1.52</x:v>
      </x:c>
    </x:row>
    <x:row r="9">
      <x:c r="A9" s="132" t="str">
        <x:v>2022-2024</x:v>
      </x:c>
      <x:c r="B9" s="132" t="str">
        <x:v>AZ</x:v>
      </x:c>
      <x:c r="C9" s="133" t="n">
        <x:v>13.1</x:v>
      </x:c>
      <x:c r="D9" s="133" t="n">
        <x:v>1.68</x:v>
      </x:c>
      <x:c r="E9" s="133" t="n">
        <x:v>5.6</x:v>
      </x:c>
      <x:c r="F9" s="133" t="n">
        <x:v>1.03</x:v>
      </x:c>
    </x:row>
    <x:row r="10">
      <x:c r="A10" s="132" t="str">
        <x:v>2022-2024</x:v>
      </x:c>
      <x:c r="B10" s="132" t="str">
        <x:v>CA</x:v>
      </x:c>
      <x:c r="C10" s="133" t="n">
        <x:v>12.5</x:v>
      </x:c>
      <x:c r="D10" s="133" t="n">
        <x:v>0.82</x:v>
      </x:c>
      <x:c r="E10" s="133" t="n">
        <x:v>4.4</x:v>
      </x:c>
      <x:c r="F10" s="133" t="n">
        <x:v>0.49</x:v>
      </x:c>
    </x:row>
    <x:row r="11">
      <x:c r="A11" s="132" t="str">
        <x:v>2022-2024</x:v>
      </x:c>
      <x:c r="B11" s="132" t="str">
        <x:v>CO</x:v>
      </x:c>
      <x:c r="C11" s="133" t="n">
        <x:v>10.5</x:v>
      </x:c>
      <x:c r="D11" s="133" t="n">
        <x:v>1.94</x:v>
      </x:c>
      <x:c r="E11" s="133" t="n">
        <x:v>4.3</x:v>
      </x:c>
      <x:c r="F11" s="133" t="n">
        <x:v>1.13</x:v>
      </x:c>
    </x:row>
    <x:row r="12">
      <x:c r="A12" s="132" t="str">
        <x:v>2022-2024</x:v>
      </x:c>
      <x:c r="B12" s="132" t="str">
        <x:v>CT</x:v>
      </x:c>
      <x:c r="C12" s="133" t="n">
        <x:v>12.1</x:v>
      </x:c>
      <x:c r="D12" s="133" t="n">
        <x:v>2.07</x:v>
      </x:c>
      <x:c r="E12" s="133" t="n">
        <x:v>5.7</x:v>
      </x:c>
      <x:c r="F12" s="133" t="n">
        <x:v>1.6</x:v>
      </x:c>
    </x:row>
    <x:row r="13">
      <x:c r="A13" s="132" t="str">
        <x:v>2022-2024</x:v>
      </x:c>
      <x:c r="B13" s="132" t="str">
        <x:v>DC</x:v>
      </x:c>
      <x:c r="C13" s="133" t="n">
        <x:v>10.3</x:v>
      </x:c>
      <x:c r="D13" s="133" t="n">
        <x:v>1.54</x:v>
      </x:c>
      <x:c r="E13" s="133" t="n">
        <x:v>4.9</x:v>
      </x:c>
      <x:c r="F13" s="133" t="n">
        <x:v>1.07</x:v>
      </x:c>
    </x:row>
    <x:row r="14">
      <x:c r="A14" s="132" t="str">
        <x:v>2022-2024</x:v>
      </x:c>
      <x:c r="B14" s="132" t="str">
        <x:v>DE</x:v>
      </x:c>
      <x:c r="C14" s="133" t="n">
        <x:v>10.8</x:v>
      </x:c>
      <x:c r="D14" s="133" t="n">
        <x:v>1.97</x:v>
      </x:c>
      <x:c r="E14" s="133" t="n">
        <x:v>4.5</x:v>
      </x:c>
      <x:c r="F14" s="133" t="n">
        <x:v>1.44</x:v>
      </x:c>
    </x:row>
    <x:row r="15">
      <x:c r="A15" s="132" t="str">
        <x:v>2022-2024</x:v>
      </x:c>
      <x:c r="B15" s="132" t="str">
        <x:v>FL</x:v>
      </x:c>
      <x:c r="C15" s="133" t="n">
        <x:v>13.3</x:v>
      </x:c>
      <x:c r="D15" s="133" t="n">
        <x:v>1.28</x:v>
      </x:c>
      <x:c r="E15" s="133" t="n">
        <x:v>4.8</x:v>
      </x:c>
      <x:c r="F15" s="133" t="n">
        <x:v>0.73</x:v>
      </x:c>
    </x:row>
    <x:row r="16">
      <x:c r="A16" s="132" t="str">
        <x:v>2022-2024</x:v>
      </x:c>
      <x:c r="B16" s="132" t="str">
        <x:v>GA</x:v>
      </x:c>
      <x:c r="C16" s="133" t="n">
        <x:v>14.6</x:v>
      </x:c>
      <x:c r="D16" s="133" t="n">
        <x:v>1.95</x:v>
      </x:c>
      <x:c r="E16" s="133" t="n">
        <x:v>5.9</x:v>
      </x:c>
      <x:c r="F16" s="133" t="n">
        <x:v>1.06</x:v>
      </x:c>
    </x:row>
    <x:row r="17">
      <x:c r="A17" s="132" t="str">
        <x:v>2022-2024</x:v>
      </x:c>
      <x:c r="B17" s="132" t="str">
        <x:v>HI</x:v>
      </x:c>
      <x:c r="C17" s="133" t="n">
        <x:v>10.8</x:v>
      </x:c>
      <x:c r="D17" s="133" t="n">
        <x:v>1.79</x:v>
      </x:c>
      <x:c r="E17" s="133" t="n">
        <x:v>4.5</x:v>
      </x:c>
      <x:c r="F17" s="133" t="n">
        <x:v>1.19</x:v>
      </x:c>
    </x:row>
    <x:row r="18">
      <x:c r="A18" s="132" t="str">
        <x:v>2022-2024</x:v>
      </x:c>
      <x:c r="B18" s="132" t="str">
        <x:v>IA</x:v>
      </x:c>
      <x:c r="C18" s="133" t="n">
        <x:v>10.8</x:v>
      </x:c>
      <x:c r="D18" s="133" t="n">
        <x:v>2.02</x:v>
      </x:c>
      <x:c r="E18" s="133" t="n">
        <x:v>3.9</x:v>
      </x:c>
      <x:c r="F18" s="133" t="n">
        <x:v>1.07</x:v>
      </x:c>
    </x:row>
    <x:row r="19">
      <x:c r="A19" s="132" t="str">
        <x:v>2022-2024</x:v>
      </x:c>
      <x:c r="B19" s="132" t="str">
        <x:v>ID</x:v>
      </x:c>
      <x:c r="C19" s="133" t="n">
        <x:v>12.6</x:v>
      </x:c>
      <x:c r="D19" s="133" t="n">
        <x:v>1.72</x:v>
      </x:c>
      <x:c r="E19" s="133" t="n">
        <x:v>4.5</x:v>
      </x:c>
      <x:c r="F19" s="133" t="n">
        <x:v>0.91</x:v>
      </x:c>
    </x:row>
    <x:row r="20">
      <x:c r="A20" s="132" t="str">
        <x:v>2022-2024</x:v>
      </x:c>
      <x:c r="B20" s="132" t="str">
        <x:v>IL</x:v>
      </x:c>
      <x:c r="C20" s="133" t="n">
        <x:v>13.3</x:v>
      </x:c>
      <x:c r="D20" s="133" t="n">
        <x:v>1.54</x:v>
      </x:c>
      <x:c r="E20" s="133" t="n">
        <x:v>4.8</x:v>
      </x:c>
      <x:c r="F20" s="133" t="n">
        <x:v>0.91</x:v>
      </x:c>
    </x:row>
    <x:row r="21">
      <x:c r="A21" s="132" t="str">
        <x:v>2022-2024</x:v>
      </x:c>
      <x:c r="B21" s="132" t="str">
        <x:v>IN</x:v>
      </x:c>
      <x:c r="C21" s="133" t="n">
        <x:v>13.7</x:v>
      </x:c>
      <x:c r="D21" s="133" t="n">
        <x:v>1.66</x:v>
      </x:c>
      <x:c r="E21" s="133" t="n">
        <x:v>5.9</x:v>
      </x:c>
      <x:c r="F21" s="133" t="n">
        <x:v>1.16</x:v>
      </x:c>
    </x:row>
    <x:row r="22">
      <x:c r="A22" s="132" t="str">
        <x:v>2022-2024</x:v>
      </x:c>
      <x:c r="B22" s="132" t="str">
        <x:v>KS</x:v>
      </x:c>
      <x:c r="C22" s="133" t="n">
        <x:v>12.5</x:v>
      </x:c>
      <x:c r="D22" s="133" t="n">
        <x:v>1.54</x:v>
      </x:c>
      <x:c r="E22" s="133" t="n">
        <x:v>4.9</x:v>
      </x:c>
      <x:c r="F22" s="133" t="n">
        <x:v>1</x:v>
      </x:c>
    </x:row>
    <x:row r="23">
      <x:c r="A23" s="132" t="str">
        <x:v>2022-2024</x:v>
      </x:c>
      <x:c r="B23" s="132" t="str">
        <x:v>KY</x:v>
      </x:c>
      <x:c r="C23" s="133" t="n">
        <x:v>18.8</x:v>
      </x:c>
      <x:c r="D23" s="133" t="n">
        <x:v>2.8</x:v>
      </x:c>
      <x:c r="E23" s="133" t="n">
        <x:v>9</x:v>
      </x:c>
      <x:c r="F23" s="133" t="n">
        <x:v>2.24</x:v>
      </x:c>
    </x:row>
    <x:row r="24">
      <x:c r="A24" s="132" t="str">
        <x:v>2022-2024</x:v>
      </x:c>
      <x:c r="B24" s="132" t="str">
        <x:v>LA</x:v>
      </x:c>
      <x:c r="C24" s="133" t="n">
        <x:v>17.7</x:v>
      </x:c>
      <x:c r="D24" s="133" t="n">
        <x:v>2.29</x:v>
      </x:c>
      <x:c r="E24" s="133" t="n">
        <x:v>6.8</x:v>
      </x:c>
      <x:c r="F24" s="133" t="n">
        <x:v>1.24</x:v>
      </x:c>
    </x:row>
    <x:row r="25">
      <x:c r="A25" s="132" t="str">
        <x:v>2022-2024</x:v>
      </x:c>
      <x:c r="B25" s="132" t="str">
        <x:v>MA</x:v>
      </x:c>
      <x:c r="C25" s="133" t="n">
        <x:v>11.7</x:v>
      </x:c>
      <x:c r="D25" s="133" t="n">
        <x:v>1.53</x:v>
      </x:c>
      <x:c r="E25" s="133" t="n">
        <x:v>3.9</x:v>
      </x:c>
      <x:c r="F25" s="133" t="n">
        <x:v>0.88</x:v>
      </x:c>
    </x:row>
    <x:row r="26">
      <x:c r="A26" s="132" t="str">
        <x:v>2022-2024</x:v>
      </x:c>
      <x:c r="B26" s="132" t="str">
        <x:v>MD</x:v>
      </x:c>
      <x:c r="C26" s="133" t="n">
        <x:v>11.5</x:v>
      </x:c>
      <x:c r="D26" s="133" t="n">
        <x:v>1.79</x:v>
      </x:c>
      <x:c r="E26" s="133" t="n">
        <x:v>4.8</x:v>
      </x:c>
      <x:c r="F26" s="133" t="n">
        <x:v>1.17</x:v>
      </x:c>
    </x:row>
    <x:row r="27">
      <x:c r="A27" s="132" t="str">
        <x:v>2022-2024</x:v>
      </x:c>
      <x:c r="B27" s="132" t="str">
        <x:v>ME</x:v>
      </x:c>
      <x:c r="C27" s="133" t="n">
        <x:v>12.9</x:v>
      </x:c>
      <x:c r="D27" s="133" t="n">
        <x:v>2.75</x:v>
      </x:c>
      <x:c r="E27" s="133" t="n">
        <x:v>4.6</x:v>
      </x:c>
      <x:c r="F27" s="133" t="n">
        <x:v>1.44</x:v>
      </x:c>
    </x:row>
    <x:row r="28">
      <x:c r="A28" s="132" t="str">
        <x:v>2022-2024</x:v>
      </x:c>
      <x:c r="B28" s="132" t="str">
        <x:v>MI</x:v>
      </x:c>
      <x:c r="C28" s="133" t="n">
        <x:v>14.7</x:v>
      </x:c>
      <x:c r="D28" s="133" t="n">
        <x:v>1.99</x:v>
      </x:c>
      <x:c r="E28" s="133" t="n">
        <x:v>6.3</x:v>
      </x:c>
      <x:c r="F28" s="133" t="n">
        <x:v>1.06</x:v>
      </x:c>
    </x:row>
    <x:row r="29">
      <x:c r="A29" s="132" t="str">
        <x:v>2022-2024</x:v>
      </x:c>
      <x:c r="B29" s="132" t="str">
        <x:v>MN</x:v>
      </x:c>
      <x:c r="C29" s="133" t="n">
        <x:v>9.9</x:v>
      </x:c>
      <x:c r="D29" s="133" t="n">
        <x:v>1.69</x:v>
      </x:c>
      <x:c r="E29" s="133" t="n">
        <x:v>3.7</x:v>
      </x:c>
      <x:c r="F29" s="133" t="n">
        <x:v>0.95</x:v>
      </x:c>
    </x:row>
    <x:row r="30">
      <x:c r="A30" s="132" t="str">
        <x:v>2022-2024</x:v>
      </x:c>
      <x:c r="B30" s="132" t="str">
        <x:v>MO</x:v>
      </x:c>
      <x:c r="C30" s="133" t="n">
        <x:v>13.3</x:v>
      </x:c>
      <x:c r="D30" s="133" t="n">
        <x:v>2.16</x:v>
      </x:c>
      <x:c r="E30" s="133" t="n">
        <x:v>5.9</x:v>
      </x:c>
      <x:c r="F30" s="133" t="n">
        <x:v>1.06</x:v>
      </x:c>
    </x:row>
    <x:row r="31">
      <x:c r="A31" s="132" t="str">
        <x:v>2022-2024</x:v>
      </x:c>
      <x:c r="B31" s="132" t="str">
        <x:v>MS</x:v>
      </x:c>
      <x:c r="C31" s="133" t="n">
        <x:v>17.3</x:v>
      </x:c>
      <x:c r="D31" s="133" t="n">
        <x:v>1.62</x:v>
      </x:c>
      <x:c r="E31" s="133" t="n">
        <x:v>6.9</x:v>
      </x:c>
      <x:c r="F31" s="133" t="n">
        <x:v>0.91</x:v>
      </x:c>
    </x:row>
    <x:row r="32">
      <x:c r="A32" s="132" t="str">
        <x:v>2022-2024</x:v>
      </x:c>
      <x:c r="B32" s="132" t="str">
        <x:v>MT</x:v>
      </x:c>
      <x:c r="C32" s="133" t="n">
        <x:v>11.7</x:v>
      </x:c>
      <x:c r="D32" s="133" t="n">
        <x:v>1.71</x:v>
      </x:c>
      <x:c r="E32" s="133" t="n">
        <x:v>4.2</x:v>
      </x:c>
      <x:c r="F32" s="133" t="n">
        <x:v>0.94</x:v>
      </x:c>
    </x:row>
    <x:row r="33">
      <x:c r="A33" s="132" t="str">
        <x:v>2022-2024</x:v>
      </x:c>
      <x:c r="B33" s="132" t="str">
        <x:v>NC</x:v>
      </x:c>
      <x:c r="C33" s="133" t="n">
        <x:v>11.8</x:v>
      </x:c>
      <x:c r="D33" s="133" t="n">
        <x:v>1.66</x:v>
      </x:c>
      <x:c r="E33" s="133" t="n">
        <x:v>4.4</x:v>
      </x:c>
      <x:c r="F33" s="133" t="n">
        <x:v>0.99</x:v>
      </x:c>
    </x:row>
    <x:row r="34">
      <x:c r="A34" s="132" t="str">
        <x:v>2022-2024</x:v>
      </x:c>
      <x:c r="B34" s="132" t="str">
        <x:v>ND</x:v>
      </x:c>
      <x:c r="C34" s="133" t="n">
        <x:v>9</x:v>
      </x:c>
      <x:c r="D34" s="133" t="n">
        <x:v>1.62</x:v>
      </x:c>
      <x:c r="E34" s="133" t="n">
        <x:v>4.1</x:v>
      </x:c>
      <x:c r="F34" s="133" t="n">
        <x:v>0.97</x:v>
      </x:c>
    </x:row>
    <x:row r="35">
      <x:c r="A35" s="132" t="str">
        <x:v>2022-2024</x:v>
      </x:c>
      <x:c r="B35" s="132" t="str">
        <x:v>NE</x:v>
      </x:c>
      <x:c r="C35" s="133" t="n">
        <x:v>12.7</x:v>
      </x:c>
      <x:c r="D35" s="133" t="n">
        <x:v>1.92</x:v>
      </x:c>
      <x:c r="E35" s="133" t="n">
        <x:v>5.3</x:v>
      </x:c>
      <x:c r="F35" s="133" t="n">
        <x:v>1.28</x:v>
      </x:c>
    </x:row>
    <x:row r="36">
      <x:c r="A36" s="132" t="str">
        <x:v>2022-2024</x:v>
      </x:c>
      <x:c r="B36" s="132" t="str">
        <x:v>NH</x:v>
      </x:c>
      <x:c r="C36" s="133" t="n">
        <x:v>9.1</x:v>
      </x:c>
      <x:c r="D36" s="133" t="n">
        <x:v>1.81</x:v>
      </x:c>
      <x:c r="E36" s="133" t="n">
        <x:v>4.4</x:v>
      </x:c>
      <x:c r="F36" s="133" t="n">
        <x:v>1.35</x:v>
      </x:c>
    </x:row>
    <x:row r="37">
      <x:c r="A37" s="132" t="str">
        <x:v>2022-2024</x:v>
      </x:c>
      <x:c r="B37" s="132" t="str">
        <x:v>NJ</x:v>
      </x:c>
      <x:c r="C37" s="133" t="n">
        <x:v>9.8</x:v>
      </x:c>
      <x:c r="D37" s="133" t="n">
        <x:v>1.43</x:v>
      </x:c>
      <x:c r="E37" s="133" t="n">
        <x:v>3.5</x:v>
      </x:c>
      <x:c r="F37" s="133" t="n">
        <x:v>0.87</x:v>
      </x:c>
    </x:row>
    <x:row r="38">
      <x:c r="A38" s="132" t="str">
        <x:v>2022-2024</x:v>
      </x:c>
      <x:c r="B38" s="132" t="str">
        <x:v>NM</x:v>
      </x:c>
      <x:c r="C38" s="133" t="n">
        <x:v>14.5</x:v>
      </x:c>
      <x:c r="D38" s="133" t="n">
        <x:v>2.2</x:v>
      </x:c>
      <x:c r="E38" s="133" t="n">
        <x:v>6.5</x:v>
      </x:c>
      <x:c r="F38" s="133" t="n">
        <x:v>1.4</x:v>
      </x:c>
    </x:row>
    <x:row r="39">
      <x:c r="A39" s="132" t="str">
        <x:v>2022-2024</x:v>
      </x:c>
      <x:c r="B39" s="132" t="str">
        <x:v>NV</x:v>
      </x:c>
      <x:c r="C39" s="133" t="n">
        <x:v>15</x:v>
      </x:c>
      <x:c r="D39" s="133" t="n">
        <x:v>2.17</x:v>
      </x:c>
      <x:c r="E39" s="133" t="n">
        <x:v>6.1</x:v>
      </x:c>
      <x:c r="F39" s="133" t="n">
        <x:v>1.51</x:v>
      </x:c>
    </x:row>
    <x:row r="40">
      <x:c r="A40" s="132" t="str">
        <x:v>2022-2024</x:v>
      </x:c>
      <x:c r="B40" s="132" t="str">
        <x:v>NY</x:v>
      </x:c>
      <x:c r="C40" s="133" t="n">
        <x:v>14</x:v>
      </x:c>
      <x:c r="D40" s="133" t="n">
        <x:v>1.29</x:v>
      </x:c>
      <x:c r="E40" s="133" t="n">
        <x:v>5.6</x:v>
      </x:c>
      <x:c r="F40" s="133" t="n">
        <x:v>0.85</x:v>
      </x:c>
    </x:row>
    <x:row r="41">
      <x:c r="A41" s="132" t="str">
        <x:v>2022-2024</x:v>
      </x:c>
      <x:c r="B41" s="132" t="str">
        <x:v>OH</x:v>
      </x:c>
      <x:c r="C41" s="133" t="n">
        <x:v>14.2</x:v>
      </x:c>
      <x:c r="D41" s="133" t="n">
        <x:v>1.45</x:v>
      </x:c>
      <x:c r="E41" s="133" t="n">
        <x:v>6.2</x:v>
      </x:c>
      <x:c r="F41" s="133" t="n">
        <x:v>0.96</x:v>
      </x:c>
    </x:row>
    <x:row r="42">
      <x:c r="A42" s="132" t="str">
        <x:v>2022-2024</x:v>
      </x:c>
      <x:c r="B42" s="132" t="str">
        <x:v>OK</x:v>
      </x:c>
      <x:c r="C42" s="133" t="n">
        <x:v>16.9</x:v>
      </x:c>
      <x:c r="D42" s="133" t="n">
        <x:v>2.78</x:v>
      </x:c>
      <x:c r="E42" s="133" t="n">
        <x:v>6</x:v>
      </x:c>
      <x:c r="F42" s="133" t="n">
        <x:v>1.38</x:v>
      </x:c>
    </x:row>
    <x:row r="43">
      <x:c r="A43" s="132" t="str">
        <x:v>2022-2024</x:v>
      </x:c>
      <x:c r="B43" s="132" t="str">
        <x:v>OR</x:v>
      </x:c>
      <x:c r="C43" s="133" t="n">
        <x:v>12.5</x:v>
      </x:c>
      <x:c r="D43" s="133" t="n">
        <x:v>2.37</x:v>
      </x:c>
      <x:c r="E43" s="133" t="n">
        <x:v>5.7</x:v>
      </x:c>
      <x:c r="F43" s="133" t="n">
        <x:v>1.59</x:v>
      </x:c>
    </x:row>
    <x:row r="44">
      <x:c r="A44" s="132" t="str">
        <x:v>2022-2024</x:v>
      </x:c>
      <x:c r="B44" s="132" t="str">
        <x:v>PA</x:v>
      </x:c>
      <x:c r="C44" s="133" t="n">
        <x:v>10.9</x:v>
      </x:c>
      <x:c r="D44" s="133" t="n">
        <x:v>1.3</x:v>
      </x:c>
      <x:c r="E44" s="133" t="n">
        <x:v>3.7</x:v>
      </x:c>
      <x:c r="F44" s="133" t="n">
        <x:v>0.78</x:v>
      </x:c>
    </x:row>
    <x:row r="45">
      <x:c r="A45" s="132" t="str">
        <x:v>2022-2024</x:v>
      </x:c>
      <x:c r="B45" s="132" t="str">
        <x:v>RI</x:v>
      </x:c>
      <x:c r="C45" s="133" t="n">
        <x:v>10.6</x:v>
      </x:c>
      <x:c r="D45" s="133" t="n">
        <x:v>2.58</x:v>
      </x:c>
      <x:c r="E45" s="133" t="n">
        <x:v>5.1</x:v>
      </x:c>
      <x:c r="F45" s="133" t="n">
        <x:v>1.68</x:v>
      </x:c>
    </x:row>
    <x:row r="46">
      <x:c r="A46" s="132" t="str">
        <x:v>2022-2024</x:v>
      </x:c>
      <x:c r="B46" s="132" t="str">
        <x:v>SC</x:v>
      </x:c>
      <x:c r="C46" s="133" t="n">
        <x:v>13.5</x:v>
      </x:c>
      <x:c r="D46" s="133" t="n">
        <x:v>1.6</x:v>
      </x:c>
      <x:c r="E46" s="133" t="n">
        <x:v>5.8</x:v>
      </x:c>
      <x:c r="F46" s="133" t="n">
        <x:v>1.23</x:v>
      </x:c>
    </x:row>
    <x:row r="47">
      <x:c r="A47" s="132" t="str">
        <x:v>2022-2024</x:v>
      </x:c>
      <x:c r="B47" s="132" t="str">
        <x:v>SD</x:v>
      </x:c>
      <x:c r="C47" s="133" t="n">
        <x:v>9.5</x:v>
      </x:c>
      <x:c r="D47" s="133" t="n">
        <x:v>1.48</x:v>
      </x:c>
      <x:c r="E47" s="133" t="n">
        <x:v>3.4</x:v>
      </x:c>
      <x:c r="F47" s="133" t="n">
        <x:v>1.3</x:v>
      </x:c>
    </x:row>
    <x:row r="48">
      <x:c r="A48" s="132" t="str">
        <x:v>2022-2024</x:v>
      </x:c>
      <x:c r="B48" s="132" t="str">
        <x:v>TN</x:v>
      </x:c>
      <x:c r="C48" s="133" t="n">
        <x:v>13.3</x:v>
      </x:c>
      <x:c r="D48" s="133" t="n">
        <x:v>1.72</x:v>
      </x:c>
      <x:c r="E48" s="133" t="n">
        <x:v>5.8</x:v>
      </x:c>
      <x:c r="F48" s="133" t="n">
        <x:v>1.2</x:v>
      </x:c>
    </x:row>
    <x:row r="49">
      <x:c r="A49" s="132" t="str">
        <x:v>2022-2024</x:v>
      </x:c>
      <x:c r="B49" s="132" t="str">
        <x:v>TX</x:v>
      </x:c>
      <x:c r="C49" s="133" t="n">
        <x:v>17.6</x:v>
      </x:c>
      <x:c r="D49" s="133" t="n">
        <x:v>1.01</x:v>
      </x:c>
      <x:c r="E49" s="133" t="n">
        <x:v>6.6</x:v>
      </x:c>
      <x:c r="F49" s="133" t="n">
        <x:v>0.63</x:v>
      </x:c>
    </x:row>
    <x:row r="50">
      <x:c r="A50" s="132" t="str">
        <x:v>2022-2024</x:v>
      </x:c>
      <x:c r="B50" s="132" t="str">
        <x:v>UT</x:v>
      </x:c>
      <x:c r="C50" s="133" t="n">
        <x:v>11.5</x:v>
      </x:c>
      <x:c r="D50" s="133" t="n">
        <x:v>1.59</x:v>
      </x:c>
      <x:c r="E50" s="133" t="n">
        <x:v>4.3</x:v>
      </x:c>
      <x:c r="F50" s="133" t="n">
        <x:v>1.02</x:v>
      </x:c>
    </x:row>
    <x:row r="51">
      <x:c r="A51" s="132" t="str">
        <x:v>2022-2024</x:v>
      </x:c>
      <x:c r="B51" s="132" t="str">
        <x:v>VA</x:v>
      </x:c>
      <x:c r="C51" s="133" t="n">
        <x:v>12.4</x:v>
      </x:c>
      <x:c r="D51" s="133" t="n">
        <x:v>1.69</x:v>
      </x:c>
      <x:c r="E51" s="133" t="n">
        <x:v>5.3</x:v>
      </x:c>
      <x:c r="F51" s="133" t="n">
        <x:v>1.05</x:v>
      </x:c>
    </x:row>
    <x:row r="52">
      <x:c r="A52" s="132" t="str">
        <x:v>2022-2024</x:v>
      </x:c>
      <x:c r="B52" s="132" t="str">
        <x:v>VT</x:v>
      </x:c>
      <x:c r="C52" s="133" t="n">
        <x:v>9.4</x:v>
      </x:c>
      <x:c r="D52" s="133" t="n">
        <x:v>1.78</x:v>
      </x:c>
      <x:c r="E52" s="133" t="n">
        <x:v>3.7</x:v>
      </x:c>
      <x:c r="F52" s="133" t="n">
        <x:v>1.29</x:v>
      </x:c>
    </x:row>
    <x:row r="53">
      <x:c r="A53" s="132" t="str">
        <x:v>2022-2024</x:v>
      </x:c>
      <x:c r="B53" s="132" t="str">
        <x:v>WA</x:v>
      </x:c>
      <x:c r="C53" s="133" t="n">
        <x:v>11</x:v>
      </x:c>
      <x:c r="D53" s="133" t="n">
        <x:v>1.17</x:v>
      </x:c>
      <x:c r="E53" s="133" t="n">
        <x:v>3.9</x:v>
      </x:c>
      <x:c r="F53" s="133" t="n">
        <x:v>0.73</x:v>
      </x:c>
    </x:row>
    <x:row r="54">
      <x:c r="A54" s="132" t="str">
        <x:v>2022-2024</x:v>
      </x:c>
      <x:c r="B54" s="132" t="str">
        <x:v>WI</x:v>
      </x:c>
      <x:c r="C54" s="133" t="n">
        <x:v>12</x:v>
      </x:c>
      <x:c r="D54" s="133" t="n">
        <x:v>1.75</x:v>
      </x:c>
      <x:c r="E54" s="133" t="n">
        <x:v>4.4</x:v>
      </x:c>
      <x:c r="F54" s="133" t="n">
        <x:v>0.81</x:v>
      </x:c>
    </x:row>
    <x:row r="55">
      <x:c r="A55" s="132" t="str">
        <x:v>2022-2024</x:v>
      </x:c>
      <x:c r="B55" s="132" t="str">
        <x:v>WV</x:v>
      </x:c>
      <x:c r="C55" s="133" t="n">
        <x:v>14.1</x:v>
      </x:c>
      <x:c r="D55" s="133" t="n">
        <x:v>1.86</x:v>
      </x:c>
      <x:c r="E55" s="133" t="n">
        <x:v>4.3</x:v>
      </x:c>
      <x:c r="F55" s="133" t="n">
        <x:v>0.99</x:v>
      </x:c>
    </x:row>
    <x:row r="56">
      <x:c r="A56" s="132" t="str">
        <x:v>2022-2024</x:v>
      </x:c>
      <x:c r="B56" s="132" t="str">
        <x:v>WY</x:v>
      </x:c>
      <x:c r="C56" s="133" t="n">
        <x:v>15.6</x:v>
      </x:c>
      <x:c r="D56" s="133" t="n">
        <x:v>2.69</x:v>
      </x:c>
      <x:c r="E56" s="133" t="n">
        <x:v>6.4</x:v>
      </x:c>
      <x:c r="F56" s="133" t="n">
        <x:v>1.43</x:v>
      </x:c>
    </x:row>
  </x:sheetData>
  <x:mergeCells>
    <x:mergeCell ref="A1:F1"/>
    <x:mergeCell ref="A2:F2"/>
  </x:mergeCells>
  <x:pageMargins left="0.7" right="0.7" top="0.75" bottom="0.75" header="0.3" footer="0.3"/>
  <x:tableParts count="1">
    <x:tablePart xmlns:r="http://schemas.openxmlformats.org/officeDocument/2006/relationships" r:id="R27b17a0a24de427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0" hidden="0" customWidth="1"/>
    <x:col min="3" max="3" width="12" hidden="0" customWidth="1"/>
    <x:col min="4" max="4" width="15" hidden="0" customWidth="1"/>
    <x:col min="5" max="5" width="18" hidden="0" customWidth="1"/>
    <x:col min="6" max="6" width="18" hidden="0" customWidth="1"/>
    <x:col min="7" max="7" width="16" hidden="0" customWidth="1"/>
    <x:col min="8" max="8" width="22" hidden="0" customWidth="1"/>
    <x:col min="9" max="9" width="22" hidden="0" customWidth="1"/>
    <x:col min="10" max="10" width="16" hidden="0" customWidth="1"/>
    <x:col min="11" max="11" width="14" hidden="0" customWidth="1"/>
  </x:cols>
  <x:sheetData>
    <x:row r="1" ht="34" customHeight="1">
      <x:c r="A1" s="3" t="str">
        <x:v>U.S. state retailer-access summary</x:v>
      </x:c>
      <x:c r="B1" s="3"/>
      <x:c r="C1" s="3"/>
      <x:c r="D1" s="3"/>
      <x:c r="E1" s="3"/>
      <x:c r="F1" s="3"/>
      <x:c r="G1" s="3"/>
      <x:c r="H1" s="3"/>
      <x:c r="I1" s="3"/>
      <x:c r="J1" s="3"/>
      <x:c r="K1" s="3"/>
    </x:row>
    <x:row r="2" ht="30" customHeight="1">
      <x:c r="A2" s="7" t="str">
        <x:v>USDA 2025 SRAM, driving distance: 1 mile urban / 10 miles rural</x:v>
      </x:c>
      <x:c r="B2" s="7"/>
      <x:c r="C2" s="7"/>
      <x:c r="D2" s="7"/>
      <x:c r="E2" s="7"/>
      <x:c r="F2" s="7"/>
      <x:c r="G2" s="7"/>
      <x:c r="H2" s="7"/>
      <x:c r="I2" s="7"/>
      <x:c r="J2" s="7"/>
      <x:c r="K2" s="7"/>
    </x:row>
    <x:row r="4" ht="34" customHeight="1">
      <x:c r="A4" s="16" t="str">
        <x:v>state</x:v>
      </x:c>
      <x:c r="B4" s="131" t="str">
        <x:v>state_abbr</x:v>
      </x:c>
      <x:c r="C4" s="131" t="str">
        <x:v>tract_count</x:v>
      </x:c>
      <x:c r="D4" s="131" t="str">
        <x:v>population</x:v>
      </x:c>
      <x:c r="E4" s="131" t="str">
        <x:v>low_income_population</x:v>
      </x:c>
      <x:c r="F4" s="131" t="str">
        <x:v>low_access_population</x:v>
      </x:c>
      <x:c r="G4" s="131" t="str">
        <x:v>low_access_population_pct</x:v>
      </x:c>
      <x:c r="H4" s="131" t="str">
        <x:v>low_income_low_access_population</x:v>
      </x:c>
      <x:c r="I4" s="131" t="str">
        <x:v>low_income_low_access_population_pct</x:v>
      </x:c>
      <x:c r="J4" s="131" t="str">
        <x:v>lila_tract_count</x:v>
      </x:c>
      <x:c r="K4" s="17" t="str">
        <x:v>lila_tract_pct</x:v>
      </x:c>
    </x:row>
    <x:row r="5">
      <x:c r="A5" s="132" t="str">
        <x:v>Alabama</x:v>
      </x:c>
      <x:c r="B5" s="132" t="str">
        <x:v>AL</x:v>
      </x:c>
      <x:c r="C5" s="134" t="n">
        <x:v>1436</x:v>
      </x:c>
      <x:c r="D5" s="134" t="n">
        <x:v>5024279</x:v>
      </x:c>
      <x:c r="E5" s="134" t="n">
        <x:v>3243903</x:v>
      </x:c>
      <x:c r="F5" s="134" t="n">
        <x:v>895423</x:v>
      </x:c>
      <x:c r="G5" s="133" t="n">
        <x:v>17.821920319313477</x:v>
      </x:c>
      <x:c r="H5" s="134" t="n">
        <x:v>656013</x:v>
      </x:c>
      <x:c r="I5" s="133" t="n">
        <x:v>20.222953645654634</x:v>
      </x:c>
      <x:c r="J5" s="134" t="n">
        <x:v>151</x:v>
      </x:c>
      <x:c r="K5" s="133" t="n">
        <x:v>10.515320334261839</x:v>
      </x:c>
    </x:row>
    <x:row r="6">
      <x:c r="A6" s="132" t="str">
        <x:v>Alaska</x:v>
      </x:c>
      <x:c r="B6" s="132" t="str">
        <x:v>AK</x:v>
      </x:c>
      <x:c r="C6" s="134" t="n">
        <x:v>177</x:v>
      </x:c>
      <x:c r="D6" s="134" t="n">
        <x:v>733391</x:v>
      </x:c>
      <x:c r="E6" s="134" t="n">
        <x:v>546620</x:v>
      </x:c>
      <x:c r="F6" s="134" t="n">
        <x:v>228117</x:v>
      </x:c>
      <x:c r="G6" s="133" t="n">
        <x:v>31.104417698062836</x:v>
      </x:c>
      <x:c r="H6" s="134" t="n">
        <x:v>171340</x:v>
      </x:c>
      <x:c r="I6" s="133" t="n">
        <x:v>31.34535875013721</x:v>
      </x:c>
      <x:c r="J6" s="134" t="n">
        <x:v>26</x:v>
      </x:c>
      <x:c r="K6" s="133" t="n">
        <x:v>14.689265536723164</x:v>
      </x:c>
    </x:row>
    <x:row r="7">
      <x:c r="A7" s="132" t="str">
        <x:v>Arizona</x:v>
      </x:c>
      <x:c r="B7" s="132" t="str">
        <x:v>AZ</x:v>
      </x:c>
      <x:c r="C7" s="134" t="n">
        <x:v>1765</x:v>
      </x:c>
      <x:c r="D7" s="134" t="n">
        <x:v>7151502</x:v>
      </x:c>
      <x:c r="E7" s="134" t="n">
        <x:v>5125347</x:v>
      </x:c>
      <x:c r="F7" s="134" t="n">
        <x:v>1571480</x:v>
      </x:c>
      <x:c r="G7" s="133" t="n">
        <x:v>21.97412515580643</x:v>
      </x:c>
      <x:c r="H7" s="134" t="n">
        <x:v>1296503</x:v>
      </x:c>
      <x:c r="I7" s="133" t="n">
        <x:v>25.295906794213153</x:v>
      </x:c>
      <x:c r="J7" s="134" t="n">
        <x:v>156</x:v>
      </x:c>
      <x:c r="K7" s="133" t="n">
        <x:v>8.838526912181303</x:v>
      </x:c>
    </x:row>
    <x:row r="8">
      <x:c r="A8" s="132" t="str">
        <x:v>Arkansas</x:v>
      </x:c>
      <x:c r="B8" s="132" t="str">
        <x:v>AR</x:v>
      </x:c>
      <x:c r="C8" s="134" t="n">
        <x:v>823</x:v>
      </x:c>
      <x:c r="D8" s="134" t="n">
        <x:v>3011524</x:v>
      </x:c>
      <x:c r="E8" s="134" t="n">
        <x:v>1854205</x:v>
      </x:c>
      <x:c r="F8" s="134" t="n">
        <x:v>573276</x:v>
      </x:c>
      <x:c r="G8" s="133" t="n">
        <x:v>19.036076086393468</x:v>
      </x:c>
      <x:c r="H8" s="134" t="n">
        <x:v>383561</x:v>
      </x:c>
      <x:c r="I8" s="133" t="n">
        <x:v>20.68600828926683</x:v>
      </x:c>
      <x:c r="J8" s="134" t="n">
        <x:v>138</x:v>
      </x:c>
      <x:c r="K8" s="133" t="n">
        <x:v>16.767922235722963</x:v>
      </x:c>
    </x:row>
    <x:row r="9">
      <x:c r="A9" s="132" t="str">
        <x:v>California</x:v>
      </x:c>
      <x:c r="B9" s="132" t="str">
        <x:v>CA</x:v>
      </x:c>
      <x:c r="C9" s="134" t="n">
        <x:v>9109</x:v>
      </x:c>
      <x:c r="D9" s="134" t="n">
        <x:v>39538223</x:v>
      </x:c>
      <x:c r="E9" s="134" t="n">
        <x:v>28038149</x:v>
      </x:c>
      <x:c r="F9" s="134" t="n">
        <x:v>5508616</x:v>
      </x:c>
      <x:c r="G9" s="133" t="n">
        <x:v>13.932381331351184</x:v>
      </x:c>
      <x:c r="H9" s="134" t="n">
        <x:v>4443905</x:v>
      </x:c>
      <x:c r="I9" s="133" t="n">
        <x:v>15.849494914946062</x:v>
      </x:c>
      <x:c r="J9" s="134" t="n">
        <x:v>426</x:v>
      </x:c>
      <x:c r="K9" s="133" t="n">
        <x:v>4.676693380173455</x:v>
      </x:c>
    </x:row>
    <x:row r="10">
      <x:c r="A10" s="132" t="str">
        <x:v>Colorado</x:v>
      </x:c>
      <x:c r="B10" s="132" t="str">
        <x:v>CO</x:v>
      </x:c>
      <x:c r="C10" s="134" t="n">
        <x:v>1447</x:v>
      </x:c>
      <x:c r="D10" s="134" t="n">
        <x:v>5773714</x:v>
      </x:c>
      <x:c r="E10" s="134" t="n">
        <x:v>4478490</x:v>
      </x:c>
      <x:c r="F10" s="134" t="n">
        <x:v>1175388</x:v>
      </x:c>
      <x:c r="G10" s="133" t="n">
        <x:v>20.357572266309</x:v>
      </x:c>
      <x:c r="H10" s="134" t="n">
        <x:v>985863</x:v>
      </x:c>
      <x:c r="I10" s="133" t="n">
        <x:v>22.013290193792997</x:v>
      </x:c>
      <x:c r="J10" s="134" t="n">
        <x:v>134</x:v>
      </x:c>
      <x:c r="K10" s="133" t="n">
        <x:v>9.260539046302695</x:v>
      </x:c>
    </x:row>
    <x:row r="11">
      <x:c r="A11" s="132" t="str">
        <x:v>Connecticut</x:v>
      </x:c>
      <x:c r="B11" s="132" t="str">
        <x:v>CT</x:v>
      </x:c>
      <x:c r="C11" s="134" t="n">
        <x:v>879</x:v>
      </x:c>
      <x:c r="D11" s="134" t="n">
        <x:v>3605944</x:v>
      </x:c>
      <x:c r="E11" s="134" t="n">
        <x:v>2754370</x:v>
      </x:c>
      <x:c r="F11" s="134" t="n">
        <x:v>968672</x:v>
      </x:c>
      <x:c r="G11" s="133" t="n">
        <x:v>26.863201425202387</x:v>
      </x:c>
      <x:c r="H11" s="134" t="n">
        <x:v>830356</x:v>
      </x:c>
      <x:c r="I11" s="133" t="n">
        <x:v>30.146857539110577</x:v>
      </x:c>
      <x:c r="J11" s="134" t="n">
        <x:v>47</x:v>
      </x:c>
      <x:c r="K11" s="133" t="n">
        <x:v>5.346985210466439</x:v>
      </x:c>
    </x:row>
    <x:row r="12">
      <x:c r="A12" s="132" t="str">
        <x:v>Delaware</x:v>
      </x:c>
      <x:c r="B12" s="132" t="str">
        <x:v>DE</x:v>
      </x:c>
      <x:c r="C12" s="134" t="n">
        <x:v>259</x:v>
      </x:c>
      <x:c r="D12" s="134" t="n">
        <x:v>989948</x:v>
      </x:c>
      <x:c r="E12" s="134" t="n">
        <x:v>755017</x:v>
      </x:c>
      <x:c r="F12" s="134" t="n">
        <x:v>262543</x:v>
      </x:c>
      <x:c r="G12" s="133" t="n">
        <x:v>26.52088796583255</x:v>
      </x:c>
      <x:c r="H12" s="134" t="n">
        <x:v>213472</x:v>
      </x:c>
      <x:c r="I12" s="133" t="n">
        <x:v>28.273800457473143</x:v>
      </x:c>
      <x:c r="J12" s="134" t="n">
        <x:v>31</x:v>
      </x:c>
      <x:c r="K12" s="133" t="n">
        <x:v>11.96911196911197</x:v>
      </x:c>
    </x:row>
    <x:row r="13">
      <x:c r="A13" s="132" t="str">
        <x:v>District of Columbia</x:v>
      </x:c>
      <x:c r="B13" s="132" t="str">
        <x:v>DC</x:v>
      </x:c>
      <x:c r="C13" s="134" t="n">
        <x:v>206</x:v>
      </x:c>
      <x:c r="D13" s="134" t="n">
        <x:v>689545</x:v>
      </x:c>
      <x:c r="E13" s="134" t="n">
        <x:v>492039</x:v>
      </x:c>
      <x:c r="F13" s="134" t="n">
        <x:v>10497</x:v>
      </x:c>
      <x:c r="G13" s="133" t="n">
        <x:v>1.5223081887331502</x:v>
      </x:c>
      <x:c r="H13" s="134" t="n">
        <x:v>7752</x:v>
      </x:c>
      <x:c r="I13" s="133" t="n">
        <x:v>1.5754848701017603</x:v>
      </x:c>
      <x:c r="J13" s="134" t="n">
        <x:v>2</x:v>
      </x:c>
      <x:c r="K13" s="133" t="n">
        <x:v>0.970873786407767</x:v>
      </x:c>
    </x:row>
    <x:row r="14">
      <x:c r="A14" s="132" t="str">
        <x:v>Florida</x:v>
      </x:c>
      <x:c r="B14" s="132" t="str">
        <x:v>FL</x:v>
      </x:c>
      <x:c r="C14" s="134" t="n">
        <x:v>5122</x:v>
      </x:c>
      <x:c r="D14" s="134" t="n">
        <x:v>21538187</x:v>
      </x:c>
      <x:c r="E14" s="134" t="n">
        <x:v>15325148</x:v>
      </x:c>
      <x:c r="F14" s="134" t="n">
        <x:v>6058651</x:v>
      </x:c>
      <x:c r="G14" s="133" t="n">
        <x:v>28.129809626037698</x:v>
      </x:c>
      <x:c r="H14" s="134" t="n">
        <x:v>4841421</x:v>
      </x:c>
      <x:c r="I14" s="133" t="n">
        <x:v>31.591349068863806</x:v>
      </x:c>
      <x:c r="J14" s="134" t="n">
        <x:v>516</x:v>
      </x:c>
      <x:c r="K14" s="133" t="n">
        <x:v>10.074189769621242</x:v>
      </x:c>
    </x:row>
    <x:row r="15">
      <x:c r="A15" s="132" t="str">
        <x:v>Georgia</x:v>
      </x:c>
      <x:c r="B15" s="132" t="str">
        <x:v>GA</x:v>
      </x:c>
      <x:c r="C15" s="134" t="n">
        <x:v>2791</x:v>
      </x:c>
      <x:c r="D15" s="134" t="n">
        <x:v>10711908</x:v>
      </x:c>
      <x:c r="E15" s="134" t="n">
        <x:v>7418086</x:v>
      </x:c>
      <x:c r="F15" s="134" t="n">
        <x:v>3018574</x:v>
      </x:c>
      <x:c r="G15" s="133" t="n">
        <x:v>28.179610952595933</x:v>
      </x:c>
      <x:c r="H15" s="134" t="n">
        <x:v>2347473</x:v>
      </x:c>
      <x:c r="I15" s="133" t="n">
        <x:v>31.64526536899141</x:v>
      </x:c>
      <x:c r="J15" s="134" t="n">
        <x:v>379</x:v>
      </x:c>
      <x:c r="K15" s="133" t="n">
        <x:v>13.579362235757793</x:v>
      </x:c>
    </x:row>
    <x:row r="16">
      <x:c r="A16" s="132" t="str">
        <x:v>Hawaii</x:v>
      </x:c>
      <x:c r="B16" s="132" t="str">
        <x:v>HI</x:v>
      </x:c>
      <x:c r="C16" s="134" t="n">
        <x:v>436</x:v>
      </x:c>
      <x:c r="D16" s="134" t="n">
        <x:v>1455271</x:v>
      </x:c>
      <x:c r="E16" s="134" t="n">
        <x:v>1094157</x:v>
      </x:c>
      <x:c r="F16" s="134" t="n">
        <x:v>375589</x:v>
      </x:c>
      <x:c r="G16" s="133" t="n">
        <x:v>25.808869963051556</x:v>
      </x:c>
      <x:c r="H16" s="134" t="n">
        <x:v>295470</x:v>
      </x:c>
      <x:c r="I16" s="133" t="n">
        <x:v>27.004351295106645</x:v>
      </x:c>
      <x:c r="J16" s="134" t="n">
        <x:v>43</x:v>
      </x:c>
      <x:c r="K16" s="133" t="n">
        <x:v>9.862385321100918</x:v>
      </x:c>
    </x:row>
    <x:row r="17">
      <x:c r="A17" s="132" t="str">
        <x:v>Idaho</x:v>
      </x:c>
      <x:c r="B17" s="132" t="str">
        <x:v>ID</x:v>
      </x:c>
      <x:c r="C17" s="134" t="n">
        <x:v>456</x:v>
      </x:c>
      <x:c r="D17" s="134" t="n">
        <x:v>1839106</x:v>
      </x:c>
      <x:c r="E17" s="134" t="n">
        <x:v>1340569</x:v>
      </x:c>
      <x:c r="F17" s="134" t="n">
        <x:v>406684</x:v>
      </x:c>
      <x:c r="G17" s="133" t="n">
        <x:v>22.11313540383208</x:v>
      </x:c>
      <x:c r="H17" s="134" t="n">
        <x:v>309882</x:v>
      </x:c>
      <x:c r="I17" s="133" t="n">
        <x:v>23.115706837917333</x:v>
      </x:c>
      <x:c r="J17" s="134" t="n">
        <x:v>34</x:v>
      </x:c>
      <x:c r="K17" s="133" t="n">
        <x:v>7.456140350877193</x:v>
      </x:c>
    </x:row>
    <x:row r="18">
      <x:c r="A18" s="132" t="str">
        <x:v>Illinois</x:v>
      </x:c>
      <x:c r="B18" s="132" t="str">
        <x:v>IL</x:v>
      </x:c>
      <x:c r="C18" s="134" t="n">
        <x:v>3263</x:v>
      </x:c>
      <x:c r="D18" s="134" t="n">
        <x:v>12812508</x:v>
      </x:c>
      <x:c r="E18" s="134" t="n">
        <x:v>9169028</x:v>
      </x:c>
      <x:c r="F18" s="134" t="n">
        <x:v>1839021</x:v>
      </x:c>
      <x:c r="G18" s="133" t="n">
        <x:v>14.353325672069824</x:v>
      </x:c>
      <x:c r="H18" s="134" t="n">
        <x:v>1482345</x:v>
      </x:c>
      <x:c r="I18" s="133" t="n">
        <x:v>16.16687177746649</x:v>
      </x:c>
      <x:c r="J18" s="134" t="n">
        <x:v>158</x:v>
      </x:c>
      <x:c r="K18" s="133" t="n">
        <x:v>4.842169782408826</x:v>
      </x:c>
    </x:row>
    <x:row r="19">
      <x:c r="A19" s="132" t="str">
        <x:v>Indiana</x:v>
      </x:c>
      <x:c r="B19" s="132" t="str">
        <x:v>IN</x:v>
      </x:c>
      <x:c r="C19" s="134" t="n">
        <x:v>1693</x:v>
      </x:c>
      <x:c r="D19" s="134" t="n">
        <x:v>6785528</x:v>
      </x:c>
      <x:c r="E19" s="134" t="n">
        <x:v>4703503</x:v>
      </x:c>
      <x:c r="F19" s="134" t="n">
        <x:v>1315108</x:v>
      </x:c>
      <x:c r="G19" s="133" t="n">
        <x:v>19.38107100877043</x:v>
      </x:c>
      <x:c r="H19" s="134" t="n">
        <x:v>1027028</x:v>
      </x:c>
      <x:c r="I19" s="133" t="n">
        <x:v>21.83538524372154</x:v>
      </x:c>
      <x:c r="J19" s="134" t="n">
        <x:v>124</x:v>
      </x:c>
      <x:c r="K19" s="133" t="n">
        <x:v>7.324276432368577</x:v>
      </x:c>
    </x:row>
    <x:row r="20">
      <x:c r="A20" s="132" t="str">
        <x:v>Iowa</x:v>
      </x:c>
      <x:c r="B20" s="132" t="str">
        <x:v>IA</x:v>
      </x:c>
      <x:c r="C20" s="134" t="n">
        <x:v>896</x:v>
      </x:c>
      <x:c r="D20" s="134" t="n">
        <x:v>3190369</x:v>
      </x:c>
      <x:c r="E20" s="134" t="n">
        <x:v>2276451</x:v>
      </x:c>
      <x:c r="F20" s="134" t="n">
        <x:v>446406</x:v>
      </x:c>
      <x:c r="G20" s="133" t="n">
        <x:v>13.992299950256537</x:v>
      </x:c>
      <x:c r="H20" s="134" t="n">
        <x:v>334367</x:v>
      </x:c>
      <x:c r="I20" s="133" t="n">
        <x:v>14.688082458177224</x:v>
      </x:c>
      <x:c r="J20" s="134" t="n">
        <x:v>64</x:v>
      </x:c>
      <x:c r="K20" s="133" t="n">
        <x:v>7.142857142857143</x:v>
      </x:c>
    </x:row>
    <x:row r="21">
      <x:c r="A21" s="132" t="str">
        <x:v>Kansas</x:v>
      </x:c>
      <x:c r="B21" s="132" t="str">
        <x:v>KS</x:v>
      </x:c>
      <x:c r="C21" s="134" t="n">
        <x:v>829</x:v>
      </x:c>
      <x:c r="D21" s="134" t="n">
        <x:v>2937880</x:v>
      </x:c>
      <x:c r="E21" s="134" t="n">
        <x:v>2065505</x:v>
      </x:c>
      <x:c r="F21" s="134" t="n">
        <x:v>571058</x:v>
      </x:c>
      <x:c r="G21" s="133" t="n">
        <x:v>19.437757838985934</x:v>
      </x:c>
      <x:c r="H21" s="134" t="n">
        <x:v>437489</x:v>
      </x:c>
      <x:c r="I21" s="133" t="n">
        <x:v>21.18072819964125</x:v>
      </x:c>
      <x:c r="J21" s="134" t="n">
        <x:v>79</x:v>
      </x:c>
      <x:c r="K21" s="133" t="n">
        <x:v>9.529553679131483</x:v>
      </x:c>
    </x:row>
    <x:row r="22">
      <x:c r="A22" s="132" t="str">
        <x:v>Kentucky</x:v>
      </x:c>
      <x:c r="B22" s="132" t="str">
        <x:v>KY</x:v>
      </x:c>
      <x:c r="C22" s="134" t="n">
        <x:v>1306</x:v>
      </x:c>
      <x:c r="D22" s="134" t="n">
        <x:v>4505836</x:v>
      </x:c>
      <x:c r="E22" s="134" t="n">
        <x:v>2866115</x:v>
      </x:c>
      <x:c r="F22" s="134" t="n">
        <x:v>672664</x:v>
      </x:c>
      <x:c r="G22" s="133" t="n">
        <x:v>14.928727987436737</x:v>
      </x:c>
      <x:c r="H22" s="134" t="n">
        <x:v>499296</x:v>
      </x:c>
      <x:c r="I22" s="133" t="n">
        <x:v>17.42065478879947</x:v>
      </x:c>
      <x:c r="J22" s="134" t="n">
        <x:v>89</x:v>
      </x:c>
      <x:c r="K22" s="133" t="n">
        <x:v>6.814701378254211</x:v>
      </x:c>
    </x:row>
    <x:row r="23">
      <x:c r="A23" s="132" t="str">
        <x:v>Louisiana</x:v>
      </x:c>
      <x:c r="B23" s="132" t="str">
        <x:v>LA</x:v>
      </x:c>
      <x:c r="C23" s="134" t="n">
        <x:v>1379</x:v>
      </x:c>
      <x:c r="D23" s="134" t="n">
        <x:v>4657757</x:v>
      </x:c>
      <x:c r="E23" s="134" t="n">
        <x:v>2785064</x:v>
      </x:c>
      <x:c r="F23" s="134" t="n">
        <x:v>864138</x:v>
      </x:c>
      <x:c r="G23" s="133" t="n">
        <x:v>18.55266386803777</x:v>
      </x:c>
      <x:c r="H23" s="134" t="n">
        <x:v>568349</x:v>
      </x:c>
      <x:c r="I23" s="133" t="n">
        <x:v>20.407035529524634</x:v>
      </x:c>
      <x:c r="J23" s="134" t="n">
        <x:v>163</x:v>
      </x:c>
      <x:c r="K23" s="133" t="n">
        <x:v>11.820159535895577</x:v>
      </x:c>
    </x:row>
    <x:row r="24">
      <x:c r="A24" s="132" t="str">
        <x:v>Maine</x:v>
      </x:c>
      <x:c r="B24" s="132" t="str">
        <x:v>ME</x:v>
      </x:c>
      <x:c r="C24" s="134" t="n">
        <x:v>401</x:v>
      </x:c>
      <x:c r="D24" s="134" t="n">
        <x:v>1362359</x:v>
      </x:c>
      <x:c r="E24" s="134" t="n">
        <x:v>996707</x:v>
      </x:c>
      <x:c r="F24" s="134" t="n">
        <x:v>169655</x:v>
      </x:c>
      <x:c r="G24" s="133" t="n">
        <x:v>12.453031836689155</x:v>
      </x:c>
      <x:c r="H24" s="134" t="n">
        <x:v>129290</x:v>
      </x:c>
      <x:c r="I24" s="133" t="n">
        <x:v>12.971715860328061</x:v>
      </x:c>
      <x:c r="J24" s="134" t="n">
        <x:v>27</x:v>
      </x:c>
      <x:c r="K24" s="133" t="n">
        <x:v>6.733167082294265</x:v>
      </x:c>
    </x:row>
    <x:row r="25">
      <x:c r="A25" s="132" t="str">
        <x:v>Maryland</x:v>
      </x:c>
      <x:c r="B25" s="132" t="str">
        <x:v>MD</x:v>
      </x:c>
      <x:c r="C25" s="134" t="n">
        <x:v>1464</x:v>
      </x:c>
      <x:c r="D25" s="134" t="n">
        <x:v>6177224</x:v>
      </x:c>
      <x:c r="E25" s="134" t="n">
        <x:v>4796578</x:v>
      </x:c>
      <x:c r="F25" s="134" t="n">
        <x:v>1616149</x:v>
      </x:c>
      <x:c r="G25" s="133" t="n">
        <x:v>26.16303051338271</x:v>
      </x:c>
      <x:c r="H25" s="134" t="n">
        <x:v>1373812</x:v>
      </x:c>
      <x:c r="I25" s="133" t="n">
        <x:v>28.641502337708257</x:v>
      </x:c>
      <x:c r="J25" s="134" t="n">
        <x:v>132</x:v>
      </x:c>
      <x:c r="K25" s="133" t="n">
        <x:v>9.01639344262295</x:v>
      </x:c>
    </x:row>
    <x:row r="26">
      <x:c r="A26" s="132" t="str">
        <x:v>Massachusetts</x:v>
      </x:c>
      <x:c r="B26" s="132" t="str">
        <x:v>MA</x:v>
      </x:c>
      <x:c r="C26" s="134" t="n">
        <x:v>1613</x:v>
      </x:c>
      <x:c r="D26" s="134" t="n">
        <x:v>7029917</x:v>
      </x:c>
      <x:c r="E26" s="134" t="n">
        <x:v>5384914</x:v>
      </x:c>
      <x:c r="F26" s="134" t="n">
        <x:v>1490210</x:v>
      </x:c>
      <x:c r="G26" s="133" t="n">
        <x:v>21.19811656382287</x:v>
      </x:c>
      <x:c r="H26" s="134" t="n">
        <x:v>1260673</x:v>
      </x:c>
      <x:c r="I26" s="133" t="n">
        <x:v>23.411200253151677</x:v>
      </x:c>
      <x:c r="J26" s="134" t="n">
        <x:v>82</x:v>
      </x:c>
      <x:c r="K26" s="133" t="n">
        <x:v>5.083694978301302</x:v>
      </x:c>
    </x:row>
    <x:row r="27">
      <x:c r="A27" s="132" t="str">
        <x:v>Michigan</x:v>
      </x:c>
      <x:c r="B27" s="132" t="str">
        <x:v>MI</x:v>
      </x:c>
      <x:c r="C27" s="134" t="n">
        <x:v>2971</x:v>
      </x:c>
      <x:c r="D27" s="134" t="n">
        <x:v>10077331</x:v>
      </x:c>
      <x:c r="E27" s="134" t="n">
        <x:v>6978319</x:v>
      </x:c>
      <x:c r="F27" s="134" t="n">
        <x:v>1711797</x:v>
      </x:c>
      <x:c r="G27" s="133" t="n">
        <x:v>16.986610839715397</x:v>
      </x:c>
      <x:c r="H27" s="134" t="n">
        <x:v>1335548</x:v>
      </x:c>
      <x:c r="I27" s="133" t="n">
        <x:v>19.138534652829716</x:v>
      </x:c>
      <x:c r="J27" s="134" t="n">
        <x:v>167</x:v>
      </x:c>
      <x:c r="K27" s="133" t="n">
        <x:v>5.621003029283069</x:v>
      </x:c>
    </x:row>
    <x:row r="28">
      <x:c r="A28" s="132" t="str">
        <x:v>Minnesota</x:v>
      </x:c>
      <x:c r="B28" s="132" t="str">
        <x:v>MN</x:v>
      </x:c>
      <x:c r="C28" s="134" t="n">
        <x:v>1502</x:v>
      </x:c>
      <x:c r="D28" s="134" t="n">
        <x:v>5706494</x:v>
      </x:c>
      <x:c r="E28" s="134" t="n">
        <x:v>4370522</x:v>
      </x:c>
      <x:c r="F28" s="134" t="n">
        <x:v>1203615</x:v>
      </x:c>
      <x:c r="G28" s="133" t="n">
        <x:v>21.092022527317123</x:v>
      </x:c>
      <x:c r="H28" s="134" t="n">
        <x:v>1002429</x:v>
      </x:c>
      <x:c r="I28" s="133" t="n">
        <x:v>22.9361389783646</x:v>
      </x:c>
      <x:c r="J28" s="134" t="n">
        <x:v>141</x:v>
      </x:c>
      <x:c r="K28" s="133" t="n">
        <x:v>9.387483355525966</x:v>
      </x:c>
    </x:row>
    <x:row r="29">
      <x:c r="A29" s="132" t="str">
        <x:v>Mississippi</x:v>
      </x:c>
      <x:c r="B29" s="132" t="str">
        <x:v>MS</x:v>
      </x:c>
      <x:c r="C29" s="134" t="n">
        <x:v>875</x:v>
      </x:c>
      <x:c r="D29" s="134" t="n">
        <x:v>2961279</x:v>
      </x:c>
      <x:c r="E29" s="134" t="n">
        <x:v>1708893</x:v>
      </x:c>
      <x:c r="F29" s="134" t="n">
        <x:v>438562</x:v>
      </x:c>
      <x:c r="G29" s="133" t="n">
        <x:v>14.80988451273926</x:v>
      </x:c>
      <x:c r="H29" s="134" t="n">
        <x:v>288612</x:v>
      </x:c>
      <x:c r="I29" s="133" t="n">
        <x:v>16.88882803077782</x:v>
      </x:c>
      <x:c r="J29" s="134" t="n">
        <x:v>91</x:v>
      </x:c>
      <x:c r="K29" s="133" t="n">
        <x:v>10.4</x:v>
      </x:c>
    </x:row>
    <x:row r="30">
      <x:c r="A30" s="132" t="str">
        <x:v>Missouri</x:v>
      </x:c>
      <x:c r="B30" s="132" t="str">
        <x:v>MO</x:v>
      </x:c>
      <x:c r="C30" s="134" t="n">
        <x:v>1654</x:v>
      </x:c>
      <x:c r="D30" s="134" t="n">
        <x:v>6154913</x:v>
      </x:c>
      <x:c r="E30" s="134" t="n">
        <x:v>4235976</x:v>
      </x:c>
      <x:c r="F30" s="134" t="n">
        <x:v>1221383</x:v>
      </x:c>
      <x:c r="G30" s="133" t="n">
        <x:v>19.84403353873564</x:v>
      </x:c>
      <x:c r="H30" s="134" t="n">
        <x:v>938769</x:v>
      </x:c>
      <x:c r="I30" s="133" t="n">
        <x:v>22.16181111507714</x:v>
      </x:c>
      <x:c r="J30" s="134" t="n">
        <x:v>186</x:v>
      </x:c>
      <x:c r="K30" s="133" t="n">
        <x:v>11.24546553808948</x:v>
      </x:c>
    </x:row>
    <x:row r="31">
      <x:c r="A31" s="132" t="str">
        <x:v>Montana</x:v>
      </x:c>
      <x:c r="B31" s="132" t="str">
        <x:v>MT</x:v>
      </x:c>
      <x:c r="C31" s="134" t="n">
        <x:v>319</x:v>
      </x:c>
      <x:c r="D31" s="134" t="n">
        <x:v>1084225</x:v>
      </x:c>
      <x:c r="E31" s="134" t="n">
        <x:v>774140</x:v>
      </x:c>
      <x:c r="F31" s="134" t="n">
        <x:v>228614</x:v>
      </x:c>
      <x:c r="G31" s="133" t="n">
        <x:v>21.085475800687128</x:v>
      </x:c>
      <x:c r="H31" s="134" t="n">
        <x:v>166073</x:v>
      </x:c>
      <x:c r="I31" s="133" t="n">
        <x:v>21.45257963675821</x:v>
      </x:c>
      <x:c r="J31" s="134" t="n">
        <x:v>46</x:v>
      </x:c>
      <x:c r="K31" s="133" t="n">
        <x:v>14.420062695924765</x:v>
      </x:c>
    </x:row>
    <x:row r="32">
      <x:c r="A32" s="132" t="str">
        <x:v>Nebraska</x:v>
      </x:c>
      <x:c r="B32" s="132" t="str">
        <x:v>NE</x:v>
      </x:c>
      <x:c r="C32" s="134" t="n">
        <x:v>553</x:v>
      </x:c>
      <x:c r="D32" s="134" t="n">
        <x:v>1961504</x:v>
      </x:c>
      <x:c r="E32" s="134" t="n">
        <x:v>1422681</x:v>
      </x:c>
      <x:c r="F32" s="134" t="n">
        <x:v>351013</x:v>
      </x:c>
      <x:c r="G32" s="133" t="n">
        <x:v>17.89509478441033</x:v>
      </x:c>
      <x:c r="H32" s="134" t="n">
        <x:v>280069</x:v>
      </x:c>
      <x:c r="I32" s="133" t="n">
        <x:v>19.68600128911541</x:v>
      </x:c>
      <x:c r="J32" s="134" t="n">
        <x:v>47</x:v>
      </x:c>
      <x:c r="K32" s="133" t="n">
        <x:v>8.499095840867993</x:v>
      </x:c>
    </x:row>
    <x:row r="33">
      <x:c r="A33" s="132" t="str">
        <x:v>Nevada</x:v>
      </x:c>
      <x:c r="B33" s="132" t="str">
        <x:v>NV</x:v>
      </x:c>
      <x:c r="C33" s="134" t="n">
        <x:v>779</x:v>
      </x:c>
      <x:c r="D33" s="134" t="n">
        <x:v>3104614</x:v>
      </x:c>
      <x:c r="E33" s="134" t="n">
        <x:v>2196163</x:v>
      </x:c>
      <x:c r="F33" s="134" t="n">
        <x:v>553990</x:v>
      </x:c>
      <x:c r="G33" s="133" t="n">
        <x:v>17.844086253556803</x:v>
      </x:c>
      <x:c r="H33" s="134" t="n">
        <x:v>456425</x:v>
      </x:c>
      <x:c r="I33" s="133" t="n">
        <x:v>20.78283806803047</x:v>
      </x:c>
      <x:c r="J33" s="134" t="n">
        <x:v>33</x:v>
      </x:c>
      <x:c r="K33" s="133" t="n">
        <x:v>4.2362002567394095</x:v>
      </x:c>
    </x:row>
    <x:row r="34">
      <x:c r="A34" s="132" t="str">
        <x:v>New Hampshire</x:v>
      </x:c>
      <x:c r="B34" s="132" t="str">
        <x:v>NH</x:v>
      </x:c>
      <x:c r="C34" s="134" t="n">
        <x:v>349</x:v>
      </x:c>
      <x:c r="D34" s="134" t="n">
        <x:v>1377529</x:v>
      </x:c>
      <x:c r="E34" s="134" t="n">
        <x:v>1117351</x:v>
      </x:c>
      <x:c r="F34" s="134" t="n">
        <x:v>311596</x:v>
      </x:c>
      <x:c r="G34" s="133" t="n">
        <x:v>22.61992306514055</x:v>
      </x:c>
      <x:c r="H34" s="134" t="n">
        <x:v>263370</x:v>
      </x:c>
      <x:c r="I34" s="133" t="n">
        <x:v>23.570928025302702</x:v>
      </x:c>
      <x:c r="J34" s="134" t="n">
        <x:v>31</x:v>
      </x:c>
      <x:c r="K34" s="133" t="n">
        <x:v>8.882521489971346</x:v>
      </x:c>
    </x:row>
    <x:row r="35">
      <x:c r="A35" s="132" t="str">
        <x:v>New Jersey</x:v>
      </x:c>
      <x:c r="B35" s="132" t="str">
        <x:v>NJ</x:v>
      </x:c>
      <x:c r="C35" s="134" t="n">
        <x:v>2175</x:v>
      </x:c>
      <x:c r="D35" s="134" t="n">
        <x:v>9288994</x:v>
      </x:c>
      <x:c r="E35" s="134" t="n">
        <x:v>7189534</x:v>
      </x:c>
      <x:c r="F35" s="134" t="n">
        <x:v>1946102</x:v>
      </x:c>
      <x:c r="G35" s="133" t="n">
        <x:v>20.95062177884925</x:v>
      </x:c>
      <x:c r="H35" s="134" t="n">
        <x:v>1665270</x:v>
      </x:c>
      <x:c r="I35" s="133" t="n">
        <x:v>23.162419149836413</x:v>
      </x:c>
      <x:c r="J35" s="134" t="n">
        <x:v>99</x:v>
      </x:c>
      <x:c r="K35" s="133" t="n">
        <x:v>4.551724137931035</x:v>
      </x:c>
    </x:row>
    <x:row r="36">
      <x:c r="A36" s="132" t="str">
        <x:v>New Mexico</x:v>
      </x:c>
      <x:c r="B36" s="132" t="str">
        <x:v>NM</x:v>
      </x:c>
      <x:c r="C36" s="134" t="n">
        <x:v>612</x:v>
      </x:c>
      <x:c r="D36" s="134" t="n">
        <x:v>2117522</x:v>
      </x:c>
      <x:c r="E36" s="134" t="n">
        <x:v>1301225</x:v>
      </x:c>
      <x:c r="F36" s="134" t="n">
        <x:v>453043</x:v>
      </x:c>
      <x:c r="G36" s="133" t="n">
        <x:v>21.39496071351325</x:v>
      </x:c>
      <x:c r="H36" s="134" t="n">
        <x:v>308109</x:v>
      </x:c>
      <x:c r="I36" s="133" t="n">
        <x:v>23.678379988088146</x:v>
      </x:c>
      <x:c r="J36" s="134" t="n">
        <x:v>103</x:v>
      </x:c>
      <x:c r="K36" s="133" t="n">
        <x:v>16.830065359477125</x:v>
      </x:c>
    </x:row>
    <x:row r="37">
      <x:c r="A37" s="132" t="str">
        <x:v>New York</x:v>
      </x:c>
      <x:c r="B37" s="132" t="str">
        <x:v>NY</x:v>
      </x:c>
      <x:c r="C37" s="134" t="n">
        <x:v>5394</x:v>
      </x:c>
      <x:c r="D37" s="134" t="n">
        <x:v>20201249</x:v>
      </x:c>
      <x:c r="E37" s="134" t="n">
        <x:v>13802561</x:v>
      </x:c>
      <x:c r="F37" s="134" t="n">
        <x:v>2026275</x:v>
      </x:c>
      <x:c r="G37" s="133" t="n">
        <x:v>10.030444157190479</x:v>
      </x:c>
      <x:c r="H37" s="134" t="n">
        <x:v>1616258</x:v>
      </x:c>
      <x:c r="I37" s="133" t="n">
        <x:v>11.709841383783777</x:v>
      </x:c>
      <x:c r="J37" s="134" t="n">
        <x:v>115</x:v>
      </x:c>
      <x:c r="K37" s="133" t="n">
        <x:v>2.131998516870597</x:v>
      </x:c>
    </x:row>
    <x:row r="38">
      <x:c r="A38" s="132" t="str">
        <x:v>North Carolina</x:v>
      </x:c>
      <x:c r="B38" s="132" t="str">
        <x:v>NC</x:v>
      </x:c>
      <x:c r="C38" s="134" t="n">
        <x:v>2660</x:v>
      </x:c>
      <x:c r="D38" s="134" t="n">
        <x:v>10439388</x:v>
      </x:c>
      <x:c r="E38" s="134" t="n">
        <x:v>7252346</x:v>
      </x:c>
      <x:c r="F38" s="134" t="n">
        <x:v>2601369</x:v>
      </x:c>
      <x:c r="G38" s="133" t="n">
        <x:v>24.91878834276492</x:v>
      </x:c>
      <x:c r="H38" s="134" t="n">
        <x:v>2003614</x:v>
      </x:c>
      <x:c r="I38" s="133" t="n">
        <x:v>27.62711541892789</x:v>
      </x:c>
      <x:c r="J38" s="134" t="n">
        <x:v>319</x:v>
      </x:c>
      <x:c r="K38" s="133" t="n">
        <x:v>11.992481203007518</x:v>
      </x:c>
    </x:row>
    <x:row r="39">
      <x:c r="A39" s="132" t="str">
        <x:v>North Dakota</x:v>
      </x:c>
      <x:c r="B39" s="132" t="str">
        <x:v>ND</x:v>
      </x:c>
      <x:c r="C39" s="134" t="n">
        <x:v>228</x:v>
      </x:c>
      <x:c r="D39" s="134" t="n">
        <x:v>779094</x:v>
      </x:c>
      <x:c r="E39" s="134" t="n">
        <x:v>571833</x:v>
      </x:c>
      <x:c r="F39" s="134" t="n">
        <x:v>181413</x:v>
      </x:c>
      <x:c r="G39" s="133" t="n">
        <x:v>23.285123489591758</x:v>
      </x:c>
      <x:c r="H39" s="134" t="n">
        <x:v>138101</x:v>
      </x:c>
      <x:c r="I39" s="133" t="n">
        <x:v>24.1505824252885</x:v>
      </x:c>
      <x:c r="J39" s="134" t="n">
        <x:v>15</x:v>
      </x:c>
      <x:c r="K39" s="133" t="n">
        <x:v>6.578947368421052</x:v>
      </x:c>
    </x:row>
    <x:row r="40">
      <x:c r="A40" s="132" t="str">
        <x:v>Ohio</x:v>
      </x:c>
      <x:c r="B40" s="132" t="str">
        <x:v>OH</x:v>
      </x:c>
      <x:c r="C40" s="134" t="n">
        <x:v>3162</x:v>
      </x:c>
      <x:c r="D40" s="134" t="n">
        <x:v>11799448</x:v>
      </x:c>
      <x:c r="E40" s="134" t="n">
        <x:v>8139086</x:v>
      </x:c>
      <x:c r="F40" s="134" t="n">
        <x:v>2190404</x:v>
      </x:c>
      <x:c r="G40" s="133" t="n">
        <x:v>18.563614162289625</x:v>
      </x:c>
      <x:c r="H40" s="134" t="n">
        <x:v>1743678</x:v>
      </x:c>
      <x:c r="I40" s="133" t="n">
        <x:v>21.423511190322845</x:v>
      </x:c>
      <x:c r="J40" s="134" t="n">
        <x:v>182</x:v>
      </x:c>
      <x:c r="K40" s="133" t="n">
        <x:v>5.755850727387729</x:v>
      </x:c>
    </x:row>
    <x:row r="41">
      <x:c r="A41" s="132" t="str">
        <x:v>Oklahoma</x:v>
      </x:c>
      <x:c r="B41" s="132" t="str">
        <x:v>OK</x:v>
      </x:c>
      <x:c r="C41" s="134" t="n">
        <x:v>1205</x:v>
      </x:c>
      <x:c r="D41" s="134" t="n">
        <x:v>3959353</x:v>
      </x:c>
      <x:c r="E41" s="134" t="n">
        <x:v>2520795</x:v>
      </x:c>
      <x:c r="F41" s="134" t="n">
        <x:v>538549</x:v>
      </x:c>
      <x:c r="G41" s="133" t="n">
        <x:v>13.60194456013394</x:v>
      </x:c>
      <x:c r="H41" s="134" t="n">
        <x:v>384166</x:v>
      </x:c>
      <x:c r="I41" s="133" t="n">
        <x:v>15.23987472206189</x:v>
      </x:c>
      <x:c r="J41" s="134" t="n">
        <x:v>76</x:v>
      </x:c>
      <x:c r="K41" s="133" t="n">
        <x:v>6.3070539419087135</x:v>
      </x:c>
    </x:row>
    <x:row r="42">
      <x:c r="A42" s="132" t="str">
        <x:v>Oregon</x:v>
      </x:c>
      <x:c r="B42" s="132" t="str">
        <x:v>OR</x:v>
      </x:c>
      <x:c r="C42" s="134" t="n">
        <x:v>994</x:v>
      </x:c>
      <x:c r="D42" s="134" t="n">
        <x:v>4237256</x:v>
      </x:c>
      <x:c r="E42" s="134" t="n">
        <x:v>3032783</x:v>
      </x:c>
      <x:c r="F42" s="134" t="n">
        <x:v>633023</x:v>
      </x:c>
      <x:c r="G42" s="133" t="n">
        <x:v>14.939456100835068</x:v>
      </x:c>
      <x:c r="H42" s="134" t="n">
        <x:v>498192</x:v>
      </x:c>
      <x:c r="I42" s="133" t="n">
        <x:v>16.42689239553242</x:v>
      </x:c>
      <x:c r="J42" s="134" t="n">
        <x:v>89</x:v>
      </x:c>
      <x:c r="K42" s="133" t="n">
        <x:v>8.953722334004024</x:v>
      </x:c>
    </x:row>
    <x:row r="43">
      <x:c r="A43" s="132" t="str">
        <x:v>Pennsylvania</x:v>
      </x:c>
      <x:c r="B43" s="132" t="str">
        <x:v>PA</x:v>
      </x:c>
      <x:c r="C43" s="134" t="n">
        <x:v>3445</x:v>
      </x:c>
      <x:c r="D43" s="134" t="n">
        <x:v>13002700</x:v>
      </x:c>
      <x:c r="E43" s="134" t="n">
        <x:v>9250170</x:v>
      </x:c>
      <x:c r="F43" s="134" t="n">
        <x:v>2119033</x:v>
      </x:c>
      <x:c r="G43" s="133" t="n">
        <x:v>16.296869111799857</x:v>
      </x:c>
      <x:c r="H43" s="134" t="n">
        <x:v>1747077</x:v>
      </x:c>
      <x:c r="I43" s="133" t="n">
        <x:v>18.886971807004628</x:v>
      </x:c>
      <x:c r="J43" s="134" t="n">
        <x:v>103</x:v>
      </x:c>
      <x:c r="K43" s="133" t="n">
        <x:v>2.9898403483309144</x:v>
      </x:c>
    </x:row>
    <x:row r="44">
      <x:c r="A44" s="132" t="str">
        <x:v>Rhode Island</x:v>
      </x:c>
      <x:c r="B44" s="132" t="str">
        <x:v>RI</x:v>
      </x:c>
      <x:c r="C44" s="134" t="n">
        <x:v>247</x:v>
      </x:c>
      <x:c r="D44" s="134" t="n">
        <x:v>1097379</x:v>
      </x:c>
      <x:c r="E44" s="134" t="n">
        <x:v>803000</x:v>
      </x:c>
      <x:c r="F44" s="134" t="n">
        <x:v>147647</x:v>
      </x:c>
      <x:c r="G44" s="133" t="n">
        <x:v>13.454512980474385</x:v>
      </x:c>
      <x:c r="H44" s="134" t="n">
        <x:v>123363</x:v>
      </x:c>
      <x:c r="I44" s="133" t="n">
        <x:v>15.362764632627647</x:v>
      </x:c>
      <x:c r="J44" s="134" t="n">
        <x:v>4</x:v>
      </x:c>
      <x:c r="K44" s="133" t="n">
        <x:v>1.6194331983805668</x:v>
      </x:c>
    </x:row>
    <x:row r="45">
      <x:c r="A45" s="132" t="str">
        <x:v>South Carolina</x:v>
      </x:c>
      <x:c r="B45" s="132" t="str">
        <x:v>SC</x:v>
      </x:c>
      <x:c r="C45" s="134" t="n">
        <x:v>1317</x:v>
      </x:c>
      <x:c r="D45" s="134" t="n">
        <x:v>5118425</x:v>
      </x:c>
      <x:c r="E45" s="134" t="n">
        <x:v>3507847</x:v>
      </x:c>
      <x:c r="F45" s="134" t="n">
        <x:v>1309761</x:v>
      </x:c>
      <x:c r="G45" s="133" t="n">
        <x:v>25.589141190893685</x:v>
      </x:c>
      <x:c r="H45" s="134" t="n">
        <x:v>1017466</x:v>
      </x:c>
      <x:c r="I45" s="133" t="n">
        <x:v>29.005426975577898</x:v>
      </x:c>
      <x:c r="J45" s="134" t="n">
        <x:v>142</x:v>
      </x:c>
      <x:c r="K45" s="133" t="n">
        <x:v>10.782080485952923</x:v>
      </x:c>
    </x:row>
    <x:row r="46">
      <x:c r="A46" s="132" t="str">
        <x:v>South Dakota</x:v>
      </x:c>
      <x:c r="B46" s="132" t="str">
        <x:v>SD</x:v>
      </x:c>
      <x:c r="C46" s="134" t="n">
        <x:v>242</x:v>
      </x:c>
      <x:c r="D46" s="134" t="n">
        <x:v>886667</x:v>
      </x:c>
      <x:c r="E46" s="134" t="n">
        <x:v>635531</x:v>
      </x:c>
      <x:c r="F46" s="134" t="n">
        <x:v>203446</x:v>
      </x:c>
      <x:c r="G46" s="133" t="n">
        <x:v>22.945028968034222</x:v>
      </x:c>
      <x:c r="H46" s="134" t="n">
        <x:v>150896</x:v>
      </x:c>
      <x:c r="I46" s="133" t="n">
        <x:v>23.743294976956278</x:v>
      </x:c>
      <x:c r="J46" s="134" t="n">
        <x:v>22</x:v>
      </x:c>
      <x:c r="K46" s="133" t="n">
        <x:v>9.090909090909092</x:v>
      </x:c>
    </x:row>
    <x:row r="47">
      <x:c r="A47" s="132" t="str">
        <x:v>Tennessee</x:v>
      </x:c>
      <x:c r="B47" s="132" t="str">
        <x:v>TN</x:v>
      </x:c>
      <x:c r="C47" s="134" t="n">
        <x:v>1701</x:v>
      </x:c>
      <x:c r="D47" s="134" t="n">
        <x:v>6910840</x:v>
      </x:c>
      <x:c r="E47" s="134" t="n">
        <x:v>4708409</x:v>
      </x:c>
      <x:c r="F47" s="134" t="n">
        <x:v>1400297</x:v>
      </x:c>
      <x:c r="G47" s="133" t="n">
        <x:v>20.26232701089882</x:v>
      </x:c>
      <x:c r="H47" s="134" t="n">
        <x:v>1075806</x:v>
      </x:c>
      <x:c r="I47" s="133" t="n">
        <x:v>22.848609795793017</x:v>
      </x:c>
      <x:c r="J47" s="134" t="n">
        <x:v>166</x:v>
      </x:c>
      <x:c r="K47" s="133" t="n">
        <x:v>9.75896531452087</x:v>
      </x:c>
    </x:row>
    <x:row r="48">
      <x:c r="A48" s="132" t="str">
        <x:v>Texas</x:v>
      </x:c>
      <x:c r="B48" s="132" t="str">
        <x:v>TX</x:v>
      </x:c>
      <x:c r="C48" s="134" t="n">
        <x:v>6884</x:v>
      </x:c>
      <x:c r="D48" s="134" t="n">
        <x:v>29145505</x:v>
      </x:c>
      <x:c r="E48" s="134" t="n">
        <x:v>20236747</x:v>
      </x:c>
      <x:c r="F48" s="134" t="n">
        <x:v>4677334</x:v>
      </x:c>
      <x:c r="G48" s="133" t="n">
        <x:v>16.04821738377839</x:v>
      </x:c>
      <x:c r="H48" s="134" t="n">
        <x:v>3777670</x:v>
      </x:c>
      <x:c r="I48" s="133" t="n">
        <x:v>18.667377716388902</x:v>
      </x:c>
      <x:c r="J48" s="134" t="n">
        <x:v>550</x:v>
      </x:c>
      <x:c r="K48" s="133" t="n">
        <x:v>7.989540964555491</x:v>
      </x:c>
    </x:row>
    <x:row r="49">
      <x:c r="A49" s="132" t="str">
        <x:v>Utah</x:v>
      </x:c>
      <x:c r="B49" s="132" t="str">
        <x:v>UT</x:v>
      </x:c>
      <x:c r="C49" s="134" t="n">
        <x:v>716</x:v>
      </x:c>
      <x:c r="D49" s="134" t="n">
        <x:v>3271616</x:v>
      </x:c>
      <x:c r="E49" s="134" t="n">
        <x:v>2571786</x:v>
      </x:c>
      <x:c r="F49" s="134" t="n">
        <x:v>815164</x:v>
      </x:c>
      <x:c r="G49" s="133" t="n">
        <x:v>24.916249339775817</x:v>
      </x:c>
      <x:c r="H49" s="134" t="n">
        <x:v>698200</x:v>
      </x:c>
      <x:c r="I49" s="133" t="n">
        <x:v>27.148448587868508</x:v>
      </x:c>
      <x:c r="J49" s="134" t="n">
        <x:v>54</x:v>
      </x:c>
      <x:c r="K49" s="133" t="n">
        <x:v>7.5418994413407825</x:v>
      </x:c>
    </x:row>
    <x:row r="50">
      <x:c r="A50" s="132" t="str">
        <x:v>Vermont</x:v>
      </x:c>
      <x:c r="B50" s="132" t="str">
        <x:v>VT</x:v>
      </x:c>
      <x:c r="C50" s="134" t="n">
        <x:v>193</x:v>
      </x:c>
      <x:c r="D50" s="134" t="n">
        <x:v>643077</x:v>
      </x:c>
      <x:c r="E50" s="134" t="n">
        <x:v>475553</x:v>
      </x:c>
      <x:c r="F50" s="134" t="n">
        <x:v>69503</x:v>
      </x:c>
      <x:c r="G50" s="133" t="n">
        <x:v>10.807881482310828</x:v>
      </x:c>
      <x:c r="H50" s="134" t="n">
        <x:v>54795</x:v>
      </x:c>
      <x:c r="I50" s="133" t="n">
        <x:v>11.522375003417075</x:v>
      </x:c>
      <x:c r="J50" s="134" t="n">
        <x:v>4</x:v>
      </x:c>
      <x:c r="K50" s="133" t="n">
        <x:v>2.0725388601036268</x:v>
      </x:c>
    </x:row>
    <x:row r="51">
      <x:c r="A51" s="132" t="str">
        <x:v>Virginia</x:v>
      </x:c>
      <x:c r="B51" s="132" t="str">
        <x:v>VA</x:v>
      </x:c>
      <x:c r="C51" s="134" t="n">
        <x:v>2186</x:v>
      </x:c>
      <x:c r="D51" s="134" t="n">
        <x:v>8631393</x:v>
      </x:c>
      <x:c r="E51" s="134" t="n">
        <x:v>6497455</x:v>
      </x:c>
      <x:c r="F51" s="134" t="n">
        <x:v>2006466</x:v>
      </x:c>
      <x:c r="G51" s="133" t="n">
        <x:v>23.246143467224815</x:v>
      </x:c>
      <x:c r="H51" s="134" t="n">
        <x:v>1668887</x:v>
      </x:c>
      <x:c r="I51" s="133" t="n">
        <x:v>25.685241375276934</x:v>
      </x:c>
      <x:c r="J51" s="134" t="n">
        <x:v>219</x:v>
      </x:c>
      <x:c r="K51" s="133" t="n">
        <x:v>10.018298261665143</x:v>
      </x:c>
    </x:row>
    <x:row r="52">
      <x:c r="A52" s="132" t="str">
        <x:v>Washington</x:v>
      </x:c>
      <x:c r="B52" s="132" t="str">
        <x:v>WA</x:v>
      </x:c>
      <x:c r="C52" s="134" t="n">
        <x:v>1772</x:v>
      </x:c>
      <x:c r="D52" s="134" t="n">
        <x:v>7705281</x:v>
      </x:c>
      <x:c r="E52" s="134" t="n">
        <x:v>5962585</x:v>
      </x:c>
      <x:c r="F52" s="134" t="n">
        <x:v>1626630</x:v>
      </x:c>
      <x:c r="G52" s="133" t="n">
        <x:v>21.11058636278158</x:v>
      </x:c>
      <x:c r="H52" s="134" t="n">
        <x:v>1344721</x:v>
      </x:c>
      <x:c r="I52" s="133" t="n">
        <x:v>22.552651241030524</x:v>
      </x:c>
      <x:c r="J52" s="134" t="n">
        <x:v>171</x:v>
      </x:c>
      <x:c r="K52" s="133" t="n">
        <x:v>9.650112866817155</x:v>
      </x:c>
    </x:row>
    <x:row r="53">
      <x:c r="A53" s="132" t="str">
        <x:v>West Virginia</x:v>
      </x:c>
      <x:c r="B53" s="132" t="str">
        <x:v>WV</x:v>
      </x:c>
      <x:c r="C53" s="134" t="n">
        <x:v>546</x:v>
      </x:c>
      <x:c r="D53" s="134" t="n">
        <x:v>1793716</x:v>
      </x:c>
      <x:c r="E53" s="134" t="n">
        <x:v>1103223</x:v>
      </x:c>
      <x:c r="F53" s="134" t="n">
        <x:v>204020</x:v>
      </x:c>
      <x:c r="G53" s="133" t="n">
        <x:v>11.374152875929077</x:v>
      </x:c>
      <x:c r="H53" s="134" t="n">
        <x:v>140392</x:v>
      </x:c>
      <x:c r="I53" s="133" t="n">
        <x:v>12.725623015473753</x:v>
      </x:c>
      <x:c r="J53" s="134" t="n">
        <x:v>29</x:v>
      </x:c>
      <x:c r="K53" s="133" t="n">
        <x:v>5.311355311355311</x:v>
      </x:c>
    </x:row>
    <x:row r="54">
      <x:c r="A54" s="132" t="str">
        <x:v>Wisconsin</x:v>
      </x:c>
      <x:c r="B54" s="132" t="str">
        <x:v>WI</x:v>
      </x:c>
      <x:c r="C54" s="134" t="n">
        <x:v>1528</x:v>
      </x:c>
      <x:c r="D54" s="134" t="n">
        <x:v>5893718</x:v>
      </x:c>
      <x:c r="E54" s="134" t="n">
        <x:v>4329671</x:v>
      </x:c>
      <x:c r="F54" s="134" t="n">
        <x:v>956860</x:v>
      </x:c>
      <x:c r="G54" s="133" t="n">
        <x:v>16.235252518020033</x:v>
      </x:c>
      <x:c r="H54" s="134" t="n">
        <x:v>768019</x:v>
      </x:c>
      <x:c r="I54" s="133" t="n">
        <x:v>17.73850715216006</x:v>
      </x:c>
      <x:c r="J54" s="134" t="n">
        <x:v>73</x:v>
      </x:c>
      <x:c r="K54" s="133" t="n">
        <x:v>4.777486910994765</x:v>
      </x:c>
    </x:row>
    <x:row r="55">
      <x:c r="A55" s="132" t="str">
        <x:v>Wyoming</x:v>
      </x:c>
      <x:c r="B55" s="132" t="str">
        <x:v>WY</x:v>
      </x:c>
      <x:c r="C55" s="134" t="n">
        <x:v>160</x:v>
      </x:c>
      <x:c r="D55" s="134" t="n">
        <x:v>576851</x:v>
      </x:c>
      <x:c r="E55" s="134" t="n">
        <x:v>418718</x:v>
      </x:c>
      <x:c r="F55" s="134" t="n">
        <x:v>155927</x:v>
      </x:c>
      <x:c r="G55" s="133" t="n">
        <x:v>27.030723705081556</x:v>
      </x:c>
      <x:c r="H55" s="134" t="n">
        <x:v>116111</x:v>
      </x:c>
      <x:c r="I55" s="133" t="n">
        <x:v>27.730119077756388</x:v>
      </x:c>
      <x:c r="J55" s="134" t="n">
        <x:v>23</x:v>
      </x:c>
      <x:c r="K55" s="133" t="n">
        <x:v>14.375</x:v>
      </x:c>
    </x:row>
  </x:sheetData>
  <x:mergeCells>
    <x:mergeCell ref="A1:K1"/>
    <x:mergeCell ref="A2:K2"/>
  </x:mergeCells>
  <x:pageMargins left="0.7" right="0.7" top="0.75" bottom="0.75" header="0.3" footer="0.3"/>
  <x:tableParts count="1">
    <x:tablePart xmlns:r="http://schemas.openxmlformats.org/officeDocument/2006/relationships" r:id="R10fcd934f44447e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9" hidden="0" customWidth="1"/>
    <x:col min="3" max="3" width="18" hidden="0" customWidth="1"/>
    <x:col min="4" max="4" width="18" hidden="0" customWidth="1"/>
    <x:col min="5" max="5" width="18" hidden="0" customWidth="1"/>
    <x:col min="6" max="6" width="18" hidden="0" customWidth="1"/>
    <x:col min="7" max="7" width="22" hidden="0" customWidth="1"/>
    <x:col min="8" max="8" width="15" hidden="0" customWidth="1"/>
    <x:col min="9" max="9" width="17" hidden="0" customWidth="1"/>
    <x:col min="10" max="10" width="17" hidden="0" customWidth="1"/>
    <x:col min="11" max="11" width="22" hidden="0" customWidth="1"/>
    <x:col min="12" max="12" width="20" hidden="0" customWidth="1"/>
    <x:col min="13" max="13" width="16" hidden="0" customWidth="1"/>
    <x:col min="14" max="14" width="20" hidden="0" customWidth="1"/>
  </x:cols>
  <x:sheetData>
    <x:row r="1" ht="34" customHeight="1">
      <x:c r="A1" s="3" t="str">
        <x:v>Project-defined Southeast comparison</x:v>
      </x:c>
      <x:c r="B1" s="3"/>
      <x:c r="C1" s="3"/>
      <x:c r="D1" s="3"/>
      <x:c r="E1" s="3"/>
      <x:c r="F1" s="3"/>
      <x:c r="G1" s="3"/>
      <x:c r="H1" s="3"/>
      <x:c r="I1" s="3"/>
      <x:c r="J1" s="3"/>
      <x:c r="K1" s="3"/>
      <x:c r="L1" s="3"/>
      <x:c r="M1" s="3"/>
      <x:c r="N1" s="3"/>
    </x:row>
    <x:row r="2" ht="30" customHeight="1">
      <x:c r="A2" s="7" t="str">
        <x:v>AL, AR, FL, GA, KY, LA, MS, NC, SC, TN; outcome and proximity columns remain distinct</x:v>
      </x:c>
      <x:c r="B2" s="7"/>
      <x:c r="C2" s="7"/>
      <x:c r="D2" s="7"/>
      <x:c r="E2" s="7"/>
      <x:c r="F2" s="7"/>
      <x:c r="G2" s="7"/>
      <x:c r="H2" s="7"/>
      <x:c r="I2" s="7"/>
      <x:c r="J2" s="7"/>
      <x:c r="K2" s="7"/>
      <x:c r="L2" s="7"/>
      <x:c r="M2" s="7"/>
      <x:c r="N2" s="7"/>
    </x:row>
    <x:row r="4" ht="34" customHeight="1">
      <x:c r="A4" s="16" t="str">
        <x:v>state</x:v>
      </x:c>
      <x:c r="B4" s="131" t="str">
        <x:v>state_abbr</x:v>
      </x:c>
      <x:c r="C4" s="131" t="str">
        <x:v>food_insecurity_pct</x:v>
      </x:c>
      <x:c r="D4" s="131" t="str">
        <x:v>food_insecurity_moe_pp</x:v>
      </x:c>
      <x:c r="E4" s="131" t="str">
        <x:v>very_low_food_security_pct</x:v>
      </x:c>
      <x:c r="F4" s="131" t="str">
        <x:v>low_access_population_pct</x:v>
      </x:c>
      <x:c r="G4" s="131" t="str">
        <x:v>low_income_low_access_population_pct</x:v>
      </x:c>
      <x:c r="H4" s="131" t="str">
        <x:v>lila_tract_pct</x:v>
      </x:c>
      <x:c r="I4" s="131" t="str">
        <x:v>low_access_children_pct</x:v>
      </x:c>
      <x:c r="J4" s="131" t="str">
        <x:v>low_access_seniors_pct</x:v>
      </x:c>
      <x:c r="K4" s="131" t="str">
        <x:v>low_access_no_vehicle_housing_units_pct</x:v>
      </x:c>
      <x:c r="L4" s="131" t="str">
        <x:v>low_access_snap_housing_units_pct</x:v>
      </x:c>
      <x:c r="M4" s="131" t="str">
        <x:v>food_insecurity_rank_high_to_low</x:v>
      </x:c>
      <x:c r="N4" s="17" t="str">
        <x:v>low_income_low_access_rank_high_to_low</x:v>
      </x:c>
    </x:row>
    <x:row r="5">
      <x:c r="A5" s="132" t="str">
        <x:v>Arkansas</x:v>
      </x:c>
      <x:c r="B5" s="132" t="str">
        <x:v>AR</x:v>
      </x:c>
      <x:c r="C5" s="133" t="n">
        <x:v>19.4</x:v>
      </x:c>
      <x:c r="D5" s="133" t="n">
        <x:v>1.67</x:v>
      </x:c>
      <x:c r="E5" s="133" t="n">
        <x:v>7.6</x:v>
      </x:c>
      <x:c r="F5" s="133" t="n">
        <x:v>19.036076086393468</x:v>
      </x:c>
      <x:c r="G5" s="133" t="n">
        <x:v>20.68600828926683</x:v>
      </x:c>
      <x:c r="H5" s="133" t="n">
        <x:v>16.767922235722963</x:v>
      </x:c>
      <x:c r="I5" s="133" t="n">
        <x:v>19.54062275205899</x:v>
      </x:c>
      <x:c r="J5" s="133" t="n">
        <x:v>18.95901994263208</x:v>
      </x:c>
      <x:c r="K5" s="133" t="n">
        <x:v>16.68697746917954</x:v>
      </x:c>
      <x:c r="L5" s="133" t="n">
        <x:v>16.117691203341163</x:v>
      </x:c>
      <x:c r="M5" s="135" t="n">
        <x:v>1</x:v>
      </x:c>
      <x:c r="N5" s="135" t="n">
        <x:v>6</x:v>
      </x:c>
    </x:row>
    <x:row r="6">
      <x:c r="A6" s="132" t="str">
        <x:v>Kentucky</x:v>
      </x:c>
      <x:c r="B6" s="132" t="str">
        <x:v>KY</x:v>
      </x:c>
      <x:c r="C6" s="133" t="n">
        <x:v>18.8</x:v>
      </x:c>
      <x:c r="D6" s="133" t="n">
        <x:v>2.8</x:v>
      </x:c>
      <x:c r="E6" s="133" t="n">
        <x:v>9</x:v>
      </x:c>
      <x:c r="F6" s="133" t="n">
        <x:v>14.928727987436737</x:v>
      </x:c>
      <x:c r="G6" s="133" t="n">
        <x:v>17.42065478879947</x:v>
      </x:c>
      <x:c r="H6" s="133" t="n">
        <x:v>6.814701378254211</x:v>
      </x:c>
      <x:c r="I6" s="133" t="n">
        <x:v>15.748540025989886</x:v>
      </x:c>
      <x:c r="J6" s="133" t="n">
        <x:v>14.36612227712899</x:v>
      </x:c>
      <x:c r="K6" s="133" t="n">
        <x:v>10.12647918753614</x:v>
      </x:c>
      <x:c r="L6" s="133" t="n">
        <x:v>9.376123771691407</x:v>
      </x:c>
      <x:c r="M6" s="135" t="n">
        <x:v>2</x:v>
      </x:c>
      <x:c r="N6" s="135" t="n">
        <x:v>9</x:v>
      </x:c>
    </x:row>
    <x:row r="7">
      <x:c r="A7" s="132" t="str">
        <x:v>Louisiana</x:v>
      </x:c>
      <x:c r="B7" s="132" t="str">
        <x:v>LA</x:v>
      </x:c>
      <x:c r="C7" s="133" t="n">
        <x:v>17.7</x:v>
      </x:c>
      <x:c r="D7" s="133" t="n">
        <x:v>2.29</x:v>
      </x:c>
      <x:c r="E7" s="133" t="n">
        <x:v>6.8</x:v>
      </x:c>
      <x:c r="F7" s="133" t="n">
        <x:v>18.55266386803777</x:v>
      </x:c>
      <x:c r="G7" s="133" t="n">
        <x:v>20.407035529524634</x:v>
      </x:c>
      <x:c r="H7" s="133" t="n">
        <x:v>11.820159535895577</x:v>
      </x:c>
      <x:c r="I7" s="133" t="n">
        <x:v>19.28175723342982</x:v>
      </x:c>
      <x:c r="J7" s="133" t="n">
        <x:v>17.470644427060197</x:v>
      </x:c>
      <x:c r="K7" s="133" t="n">
        <x:v>12.551151566024867</x:v>
      </x:c>
      <x:c r="L7" s="133" t="n">
        <x:v>14.91922843159208</x:v>
      </x:c>
      <x:c r="M7" s="135" t="n">
        <x:v>3</x:v>
      </x:c>
      <x:c r="N7" s="135" t="n">
        <x:v>7</x:v>
      </x:c>
    </x:row>
    <x:row r="8">
      <x:c r="A8" s="132" t="str">
        <x:v>Mississippi</x:v>
      </x:c>
      <x:c r="B8" s="132" t="str">
        <x:v>MS</x:v>
      </x:c>
      <x:c r="C8" s="133" t="n">
        <x:v>17.3</x:v>
      </x:c>
      <x:c r="D8" s="133" t="n">
        <x:v>1.62</x:v>
      </x:c>
      <x:c r="E8" s="133" t="n">
        <x:v>6.9</x:v>
      </x:c>
      <x:c r="F8" s="133" t="n">
        <x:v>14.80988451273926</x:v>
      </x:c>
      <x:c r="G8" s="133" t="n">
        <x:v>16.88882803077782</x:v>
      </x:c>
      <x:c r="H8" s="133" t="n">
        <x:v>10.4</x:v>
      </x:c>
      <x:c r="I8" s="133" t="n">
        <x:v>14.887227942897262</x:v>
      </x:c>
      <x:c r="J8" s="133" t="n">
        <x:v>14.57529128014114</x:v>
      </x:c>
      <x:c r="K8" s="133" t="n">
        <x:v>12.13941642212502</x:v>
      </x:c>
      <x:c r="L8" s="133" t="n">
        <x:v>11.604719687766549</x:v>
      </x:c>
      <x:c r="M8" s="135" t="n">
        <x:v>4</x:v>
      </x:c>
      <x:c r="N8" s="135" t="n">
        <x:v>10</x:v>
      </x:c>
    </x:row>
    <x:row r="9">
      <x:c r="A9" s="132" t="str">
        <x:v>Georgia</x:v>
      </x:c>
      <x:c r="B9" s="132" t="str">
        <x:v>GA</x:v>
      </x:c>
      <x:c r="C9" s="133" t="n">
        <x:v>14.6</x:v>
      </x:c>
      <x:c r="D9" s="133" t="n">
        <x:v>1.95</x:v>
      </x:c>
      <x:c r="E9" s="133" t="n">
        <x:v>5.9</x:v>
      </x:c>
      <x:c r="F9" s="133" t="n">
        <x:v>28.179610952595933</x:v>
      </x:c>
      <x:c r="G9" s="133" t="n">
        <x:v>31.64526536899141</x:v>
      </x:c>
      <x:c r="H9" s="133" t="n">
        <x:v>13.579362235757793</x:v>
      </x:c>
      <x:c r="I9" s="133" t="n">
        <x:v>29.615465192720922</x:v>
      </x:c>
      <x:c r="J9" s="133" t="n">
        <x:v>27.08883554561578</x:v>
      </x:c>
      <x:c r="K9" s="133" t="n">
        <x:v>16.40723846307518</x:v>
      </x:c>
      <x:c r="L9" s="133" t="n">
        <x:v>18.462821887553414</x:v>
      </x:c>
      <x:c r="M9" s="135" t="n">
        <x:v>5</x:v>
      </x:c>
      <x:c r="N9" s="135" t="n">
        <x:v>1</x:v>
      </x:c>
    </x:row>
    <x:row r="10">
      <x:c r="A10" s="132" t="str">
        <x:v>South Carolina</x:v>
      </x:c>
      <x:c r="B10" s="132" t="str">
        <x:v>SC</x:v>
      </x:c>
      <x:c r="C10" s="133" t="n">
        <x:v>13.5</x:v>
      </x:c>
      <x:c r="D10" s="133" t="n">
        <x:v>1.6</x:v>
      </x:c>
      <x:c r="E10" s="133" t="n">
        <x:v>5.8</x:v>
      </x:c>
      <x:c r="F10" s="133" t="n">
        <x:v>25.589141190893685</x:v>
      </x:c>
      <x:c r="G10" s="133" t="n">
        <x:v>29.005426975577898</x:v>
      </x:c>
      <x:c r="H10" s="133" t="n">
        <x:v>10.782080485952923</x:v>
      </x:c>
      <x:c r="I10" s="133" t="n">
        <x:v>26.551656981878953</x:v>
      </x:c>
      <x:c r="J10" s="133" t="n">
        <x:v>26.15100967024058</x:v>
      </x:c>
      <x:c r="K10" s="133" t="n">
        <x:v>16.675340123410898</x:v>
      </x:c>
      <x:c r="L10" s="133" t="n">
        <x:v>15.370451871345555</x:v>
      </x:c>
      <x:c r="M10" s="135" t="n">
        <x:v>6</x:v>
      </x:c>
      <x:c r="N10" s="135" t="n">
        <x:v>3</x:v>
      </x:c>
    </x:row>
    <x:row r="11">
      <x:c r="A11" s="132" t="str">
        <x:v>Tennessee</x:v>
      </x:c>
      <x:c r="B11" s="132" t="str">
        <x:v>TN</x:v>
      </x:c>
      <x:c r="C11" s="133" t="n">
        <x:v>13.3</x:v>
      </x:c>
      <x:c r="D11" s="133" t="n">
        <x:v>1.72</x:v>
      </x:c>
      <x:c r="E11" s="133" t="n">
        <x:v>5.8</x:v>
      </x:c>
      <x:c r="F11" s="133" t="n">
        <x:v>20.26232701089882</x:v>
      </x:c>
      <x:c r="G11" s="133" t="n">
        <x:v>22.848609795793017</x:v>
      </x:c>
      <x:c r="H11" s="133" t="n">
        <x:v>9.75896531452087</x:v>
      </x:c>
      <x:c r="I11" s="133" t="n">
        <x:v>20.9051296313403</x:v>
      </x:c>
      <x:c r="J11" s="133" t="n">
        <x:v>20.43183496372834</x:v>
      </x:c>
      <x:c r="K11" s="133" t="n">
        <x:v>13.503691778914407</x:v>
      </x:c>
      <x:c r="L11" s="133" t="n">
        <x:v>13.02502627987908</x:v>
      </x:c>
      <x:c r="M11" s="135" t="n">
        <x:v>7</x:v>
      </x:c>
      <x:c r="N11" s="135" t="n">
        <x:v>5</x:v>
      </x:c>
    </x:row>
    <x:row r="12">
      <x:c r="A12" s="132" t="str">
        <x:v>Florida</x:v>
      </x:c>
      <x:c r="B12" s="132" t="str">
        <x:v>FL</x:v>
      </x:c>
      <x:c r="C12" s="133" t="n">
        <x:v>13.3</x:v>
      </x:c>
      <x:c r="D12" s="133" t="n">
        <x:v>1.28</x:v>
      </x:c>
      <x:c r="E12" s="133" t="n">
        <x:v>4.8</x:v>
      </x:c>
      <x:c r="F12" s="133" t="n">
        <x:v>28.129809626037698</x:v>
      </x:c>
      <x:c r="G12" s="133" t="n">
        <x:v>31.591349068863806</x:v>
      </x:c>
      <x:c r="H12" s="133" t="n">
        <x:v>10.074189769621242</x:v>
      </x:c>
      <x:c r="I12" s="133" t="n">
        <x:v>27.798607034369265</x:v>
      </x:c>
      <x:c r="J12" s="133" t="n">
        <x:v>32.67468267474835</x:v>
      </x:c>
      <x:c r="K12" s="133" t="n">
        <x:v>17.881341990182612</x:v>
      </x:c>
      <x:c r="L12" s="133" t="n">
        <x:v>17.119188304167935</x:v>
      </x:c>
      <x:c r="M12" s="135" t="n">
        <x:v>7</x:v>
      </x:c>
      <x:c r="N12" s="135" t="n">
        <x:v>2</x:v>
      </x:c>
    </x:row>
    <x:row r="13">
      <x:c r="A13" s="132" t="str">
        <x:v>Alabama</x:v>
      </x:c>
      <x:c r="B13" s="132" t="str">
        <x:v>AL</x:v>
      </x:c>
      <x:c r="C13" s="133" t="n">
        <x:v>12.1</x:v>
      </x:c>
      <x:c r="D13" s="133" t="n">
        <x:v>2.23</x:v>
      </x:c>
      <x:c r="E13" s="133" t="n">
        <x:v>4.6</x:v>
      </x:c>
      <x:c r="F13" s="133" t="n">
        <x:v>17.821920319313477</x:v>
      </x:c>
      <x:c r="G13" s="133" t="n">
        <x:v>20.222953645654634</x:v>
      </x:c>
      <x:c r="H13" s="133" t="n">
        <x:v>10.515320334261839</x:v>
      </x:c>
      <x:c r="I13" s="133" t="n">
        <x:v>18.237795057957047</x:v>
      </x:c>
      <x:c r="J13" s="133" t="n">
        <x:v>17.71288866684827</x:v>
      </x:c>
      <x:c r="K13" s="133" t="n">
        <x:v>12.64615670601357</x:v>
      </x:c>
      <x:c r="L13" s="133" t="n">
        <x:v>12.52540864424968</x:v>
      </x:c>
      <x:c r="M13" s="135" t="n">
        <x:v>9</x:v>
      </x:c>
      <x:c r="N13" s="135" t="n">
        <x:v>8</x:v>
      </x:c>
    </x:row>
    <x:row r="14">
      <x:c r="A14" s="132" t="str">
        <x:v>North Carolina</x:v>
      </x:c>
      <x:c r="B14" s="132" t="str">
        <x:v>NC</x:v>
      </x:c>
      <x:c r="C14" s="133" t="n">
        <x:v>11.8</x:v>
      </x:c>
      <x:c r="D14" s="133" t="n">
        <x:v>1.66</x:v>
      </x:c>
      <x:c r="E14" s="133" t="n">
        <x:v>4.4</x:v>
      </x:c>
      <x:c r="F14" s="133" t="n">
        <x:v>24.91878834276492</x:v>
      </x:c>
      <x:c r="G14" s="133" t="n">
        <x:v>27.62711541892789</x:v>
      </x:c>
      <x:c r="H14" s="133" t="n">
        <x:v>11.992481203007518</x:v>
      </x:c>
      <x:c r="I14" s="133" t="n">
        <x:v>25.95555991382877</x:v>
      </x:c>
      <x:c r="J14" s="133" t="n">
        <x:v>24.06093946289582</x:v>
      </x:c>
      <x:c r="K14" s="133" t="n">
        <x:v>17.174213051192744</x:v>
      </x:c>
      <x:c r="L14" s="133" t="n">
        <x:v>16.41136252943352</x:v>
      </x:c>
      <x:c r="M14" s="135" t="n">
        <x:v>10</x:v>
      </x:c>
      <x:c r="N14" s="135" t="n">
        <x:v>4</x:v>
      </x:c>
    </x:row>
  </x:sheetData>
  <x:mergeCells>
    <x:mergeCell ref="A1:N1"/>
    <x:mergeCell ref="A2:N2"/>
  </x:mergeCells>
  <x:conditionalFormatting sqref="A5:N14">
    <x:cfRule type="expression" dxfId="0" priority="1">
      <x:formula>$B5="AL"</x:formula>
    </x:cfRule>
  </x:conditionalFormatting>
  <x:pageMargins left="0.7" right="0.7" top="0.75" bottom="0.75" header="0.3" footer="0.3"/>
  <x:tableParts count="1">
    <x:tablePart xmlns:r="http://schemas.openxmlformats.org/officeDocument/2006/relationships" r:id="Rba0ca3cc29ef440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11" hidden="0" customWidth="1"/>
    <x:col min="3" max="3" width="14" hidden="0" customWidth="1"/>
    <x:col min="4" max="4" width="18" hidden="0" customWidth="1"/>
    <x:col min="5" max="5" width="19" hidden="0" customWidth="1"/>
    <x:col min="6" max="6" width="18" hidden="0" customWidth="1"/>
    <x:col min="7" max="7" width="18" hidden="0" customWidth="1"/>
    <x:col min="8" max="8" width="22" hidden="0" customWidth="1"/>
    <x:col min="9" max="9" width="22" hidden="0" customWidth="1"/>
    <x:col min="10" max="10" width="14" hidden="0" customWidth="1"/>
    <x:col min="11" max="11" width="14" hidden="0" customWidth="1"/>
    <x:col min="12" max="12" width="17" hidden="0" customWidth="1"/>
    <x:col min="13" max="13" width="17" hidden="0" customWidth="1"/>
    <x:col min="14" max="14" width="20" hidden="0" customWidth="1"/>
    <x:col min="15" max="15" width="20" hidden="0" customWidth="1"/>
    <x:col min="16" max="16" width="16" hidden="0" customWidth="1"/>
  </x:cols>
  <x:sheetData>
    <x:row r="1" ht="34" customHeight="1">
      <x:c r="A1" s="3" t="str">
        <x:v>Alabama county retailer-access summary</x:v>
      </x:c>
      <x:c r="B1" s="3"/>
      <x:c r="C1" s="3"/>
      <x:c r="D1" s="3"/>
      <x:c r="E1" s="3"/>
      <x:c r="F1" s="3"/>
      <x:c r="G1" s="3"/>
      <x:c r="H1" s="3"/>
      <x:c r="I1" s="3"/>
      <x:c r="J1" s="3"/>
      <x:c r="K1" s="3"/>
      <x:c r="L1" s="3"/>
      <x:c r="M1" s="3"/>
      <x:c r="N1" s="3"/>
      <x:c r="O1" s="3"/>
      <x:c r="P1" s="3"/>
    </x:row>
    <x:row r="2" ht="30" customHeight="1">
      <x:c r="A2" s="7" t="str">
        <x:v>Sorted by the number of low-income residents beyond the 1-mile urban / 10-mile rural network threshold</x:v>
      </x:c>
      <x:c r="B2" s="7"/>
      <x:c r="C2" s="7"/>
      <x:c r="D2" s="7"/>
      <x:c r="E2" s="7"/>
      <x:c r="F2" s="7"/>
      <x:c r="G2" s="7"/>
      <x:c r="H2" s="7"/>
      <x:c r="I2" s="7"/>
      <x:c r="J2" s="7"/>
      <x:c r="K2" s="7"/>
      <x:c r="L2" s="7"/>
      <x:c r="M2" s="7"/>
      <x:c r="N2" s="7"/>
      <x:c r="O2" s="7"/>
      <x:c r="P2" s="7"/>
    </x:row>
    <x:row r="4" ht="34" customHeight="1">
      <x:c r="A4" s="16" t="str">
        <x:v>county</x:v>
      </x:c>
      <x:c r="B4" s="131" t="str">
        <x:v>tract_count</x:v>
      </x:c>
      <x:c r="C4" s="131" t="str">
        <x:v>population</x:v>
      </x:c>
      <x:c r="D4" s="131" t="str">
        <x:v>low_income_population</x:v>
      </x:c>
      <x:c r="E4" s="131" t="str">
        <x:v>low_access_population</x:v>
      </x:c>
      <x:c r="F4" s="131" t="str">
        <x:v>low_access_population_pct</x:v>
      </x:c>
      <x:c r="G4" s="131" t="str">
        <x:v>low_income_low_access_population</x:v>
      </x:c>
      <x:c r="H4" s="131" t="str">
        <x:v>low_income_low_access_population_pct</x:v>
      </x:c>
      <x:c r="I4" s="131" t="str">
        <x:v>lila_tract_count</x:v>
      </x:c>
      <x:c r="J4" s="131" t="str">
        <x:v>lila_tract_pct</x:v>
      </x:c>
      <x:c r="K4" s="131" t="str">
        <x:v>low_access_children_pct</x:v>
      </x:c>
      <x:c r="L4" s="131" t="str">
        <x:v>low_access_seniors_pct</x:v>
      </x:c>
      <x:c r="M4" s="131" t="str">
        <x:v>low_access_no_vehicle_housing_units_pct</x:v>
      </x:c>
      <x:c r="N4" s="131" t="str">
        <x:v>low_access_snap_housing_units_pct</x:v>
      </x:c>
      <x:c r="O4" s="131" t="str">
        <x:v>rank_by_affected_low_income_count</x:v>
      </x:c>
      <x:c r="P4" s="17" t="str">
        <x:v>rank_by_low_income_low_access_pct</x:v>
      </x:c>
    </x:row>
    <x:row r="5">
      <x:c r="A5" s="132" t="str">
        <x:v>Jefferson County</x:v>
      </x:c>
      <x:c r="B5" s="134" t="n">
        <x:v>189</x:v>
      </x:c>
      <x:c r="C5" s="134" t="n">
        <x:v>674721</x:v>
      </x:c>
      <x:c r="D5" s="134" t="n">
        <x:v>432022</x:v>
      </x:c>
      <x:c r="E5" s="134" t="n">
        <x:v>185974</x:v>
      </x:c>
      <x:c r="F5" s="133" t="n">
        <x:v>27.56309645023647</x:v>
      </x:c>
      <x:c r="G5" s="134" t="n">
        <x:v>133014</x:v>
      </x:c>
      <x:c r="H5" s="133" t="n">
        <x:v>30.788709834221404</x:v>
      </x:c>
      <x:c r="I5" s="134" t="n">
        <x:v>33</x:v>
      </x:c>
      <x:c r="J5" s="133" t="n">
        <x:v>17.46031746031746</x:v>
      </x:c>
      <x:c r="K5" s="133" t="n">
        <x:v>28.454827478765054</x:v>
      </x:c>
      <x:c r="L5" s="133" t="n">
        <x:v>28.977724390114645</x:v>
      </x:c>
      <x:c r="M5" s="133" t="n">
        <x:v>16.435811707265298</x:v>
      </x:c>
      <x:c r="N5" s="133" t="n">
        <x:v>16.50241798457718</x:v>
      </x:c>
      <x:c r="O5" s="135" t="n">
        <x:v>1</x:v>
      </x:c>
      <x:c r="P5" s="135" t="n">
        <x:v>5</x:v>
      </x:c>
    </x:row>
    <x:row r="6">
      <x:c r="A6" s="132" t="str">
        <x:v>Madison County</x:v>
      </x:c>
      <x:c r="B6" s="134" t="n">
        <x:v>95</x:v>
      </x:c>
      <x:c r="C6" s="134" t="n">
        <x:v>388153</x:v>
      </x:c>
      <x:c r="D6" s="134" t="n">
        <x:v>301347</x:v>
      </x:c>
      <x:c r="E6" s="134" t="n">
        <x:v>120950</x:v>
      </x:c>
      <x:c r="F6" s="133" t="n">
        <x:v>31.16039293783637</x:v>
      </x:c>
      <x:c r="G6" s="134" t="n">
        <x:v>106257</x:v>
      </x:c>
      <x:c r="H6" s="133" t="n">
        <x:v>35.26067954882577</x:v>
      </x:c>
      <x:c r="I6" s="134" t="n">
        <x:v>8</x:v>
      </x:c>
      <x:c r="J6" s="133" t="n">
        <x:v>8.421052631578947</x:v>
      </x:c>
      <x:c r="K6" s="133" t="n">
        <x:v>31.477205094631593</x:v>
      </x:c>
      <x:c r="L6" s="133" t="n">
        <x:v>31.76171654432524</x:v>
      </x:c>
      <x:c r="M6" s="133" t="n">
        <x:v>18.71936274509804</x:v>
      </x:c>
      <x:c r="N6" s="133" t="n">
        <x:v>17.21442246330568</x:v>
      </x:c>
      <x:c r="O6" s="135" t="n">
        <x:v>2</x:v>
      </x:c>
      <x:c r="P6" s="135" t="n">
        <x:v>2</x:v>
      </x:c>
    </x:row>
    <x:row r="7">
      <x:c r="A7" s="132" t="str">
        <x:v>Shelby County</x:v>
      </x:c>
      <x:c r="B7" s="134" t="n">
        <x:v>55</x:v>
      </x:c>
      <x:c r="C7" s="134" t="n">
        <x:v>223024</x:v>
      </x:c>
      <x:c r="D7" s="134" t="n">
        <x:v>185749</x:v>
      </x:c>
      <x:c r="E7" s="134" t="n">
        <x:v>80021</x:v>
      </x:c>
      <x:c r="F7" s="133" t="n">
        <x:v>35.879994978118944</x:v>
      </x:c>
      <x:c r="G7" s="134" t="n">
        <x:v>68184</x:v>
      </x:c>
      <x:c r="H7" s="133" t="n">
        <x:v>36.70760004091543</x:v>
      </x:c>
      <x:c r="I7" s="134" t="n">
        <x:v>1</x:v>
      </x:c>
      <x:c r="J7" s="133" t="n">
        <x:v>1.8181818181818181</x:v>
      </x:c>
      <x:c r="K7" s="133" t="n">
        <x:v>35.81475912214249</x:v>
      </x:c>
      <x:c r="L7" s="133" t="n">
        <x:v>37.9125626404009</x:v>
      </x:c>
      <x:c r="M7" s="133" t="n">
        <x:v>32.26250573657641</x:v>
      </x:c>
      <x:c r="N7" s="133" t="n">
        <x:v>20.777279521674142</x:v>
      </x:c>
      <x:c r="O7" s="135" t="n">
        <x:v>3</x:v>
      </x:c>
      <x:c r="P7" s="135" t="n">
        <x:v>1</x:v>
      </x:c>
    </x:row>
    <x:row r="8">
      <x:c r="A8" s="132" t="str">
        <x:v>Baldwin County</x:v>
      </x:c>
      <x:c r="B8" s="134" t="n">
        <x:v>43</x:v>
      </x:c>
      <x:c r="C8" s="134" t="n">
        <x:v>231767</x:v>
      </x:c>
      <x:c r="D8" s="134" t="n">
        <x:v>179166</x:v>
      </x:c>
      <x:c r="E8" s="134" t="n">
        <x:v>55259</x:v>
      </x:c>
      <x:c r="F8" s="133" t="n">
        <x:v>23.84247973179961</x:v>
      </x:c>
      <x:c r="G8" s="134" t="n">
        <x:v>42834</x:v>
      </x:c>
      <x:c r="H8" s="133" t="n">
        <x:v>23.907437795117378</x:v>
      </x:c>
      <x:c r="I8" s="134" t="n">
        <x:v>5</x:v>
      </x:c>
      <x:c r="J8" s="133" t="n">
        <x:v>11.627906976744185</x:v>
      </x:c>
      <x:c r="K8" s="133" t="n">
        <x:v>22.192469977280105</x:v>
      </x:c>
      <x:c r="L8" s="133" t="n">
        <x:v>26.865259420003945</x:v>
      </x:c>
      <x:c r="M8" s="133" t="n">
        <x:v>23.222390317700455</x:v>
      </x:c>
      <x:c r="N8" s="133" t="n">
        <x:v>23.294762484774665</x:v>
      </x:c>
      <x:c r="O8" s="135" t="n">
        <x:v>4</x:v>
      </x:c>
      <x:c r="P8" s="135" t="n">
        <x:v>8</x:v>
      </x:c>
    </x:row>
    <x:row r="9">
      <x:c r="A9" s="132" t="str">
        <x:v>Mobile County</x:v>
      </x:c>
      <x:c r="B9" s="134" t="n">
        <x:v>135</x:v>
      </x:c>
      <x:c r="C9" s="134" t="n">
        <x:v>414809</x:v>
      </x:c>
      <x:c r="D9" s="134" t="n">
        <x:v>252177</x:v>
      </x:c>
      <x:c r="E9" s="134" t="n">
        <x:v>60092</x:v>
      </x:c>
      <x:c r="F9" s="133" t="n">
        <x:v>14.486667357747782</x:v>
      </x:c>
      <x:c r="G9" s="134" t="n">
        <x:v>39741</x:v>
      </x:c>
      <x:c r="H9" s="133" t="n">
        <x:v>15.759169154998276</x:v>
      </x:c>
      <x:c r="I9" s="134" t="n">
        <x:v>13</x:v>
      </x:c>
      <x:c r="J9" s="133" t="n">
        <x:v>9.62962962962963</x:v>
      </x:c>
      <x:c r="K9" s="133" t="n">
        <x:v>14.974523494999056</x:v>
      </x:c>
      <x:c r="L9" s="133" t="n">
        <x:v>14.262893010631078</x:v>
      </x:c>
      <x:c r="M9" s="133" t="n">
        <x:v>7.588637777317023</x:v>
      </x:c>
      <x:c r="N9" s="133" t="n">
        <x:v>12.177399148083188</x:v>
      </x:c>
      <x:c r="O9" s="135" t="n">
        <x:v>5</x:v>
      </x:c>
      <x:c r="P9" s="135" t="n">
        <x:v>18</x:v>
      </x:c>
    </x:row>
    <x:row r="10">
      <x:c r="A10" s="132" t="str">
        <x:v>Lee County</x:v>
      </x:c>
      <x:c r="B10" s="134" t="n">
        <x:v>48</x:v>
      </x:c>
      <x:c r="C10" s="134" t="n">
        <x:v>174241</x:v>
      </x:c>
      <x:c r="D10" s="134" t="n">
        <x:v>115043</x:v>
      </x:c>
      <x:c r="E10" s="134" t="n">
        <x:v>48766</x:v>
      </x:c>
      <x:c r="F10" s="133" t="n">
        <x:v>27.987672247060107</x:v>
      </x:c>
      <x:c r="G10" s="134" t="n">
        <x:v>37598</x:v>
      </x:c>
      <x:c r="H10" s="133" t="n">
        <x:v>32.68169293220796</x:v>
      </x:c>
      <x:c r="I10" s="134" t="n">
        <x:v>10</x:v>
      </x:c>
      <x:c r="J10" s="133" t="n">
        <x:v>20.833333333333332</x:v>
      </x:c>
      <x:c r="K10" s="133" t="n">
        <x:v>31.142683281741938</x:v>
      </x:c>
      <x:c r="L10" s="133" t="n">
        <x:v>28.164439495174463</x:v>
      </x:c>
      <x:c r="M10" s="133" t="n">
        <x:v>22.81391830559758</x:v>
      </x:c>
      <x:c r="N10" s="133" t="n">
        <x:v>22.276586559217154</x:v>
      </x:c>
      <x:c r="O10" s="135" t="n">
        <x:v>6</x:v>
      </x:c>
      <x:c r="P10" s="135" t="n">
        <x:v>3</x:v>
      </x:c>
    </x:row>
    <x:row r="11">
      <x:c r="A11" s="132" t="str">
        <x:v>Tuscaloosa County</x:v>
      </x:c>
      <x:c r="B11" s="134" t="n">
        <x:v>59</x:v>
      </x:c>
      <x:c r="C11" s="134" t="n">
        <x:v>227036</x:v>
      </x:c>
      <x:c r="D11" s="134" t="n">
        <x:v>146945</x:v>
      </x:c>
      <x:c r="E11" s="134" t="n">
        <x:v>45237</x:v>
      </x:c>
      <x:c r="F11" s="133" t="n">
        <x:v>19.925033915326203</x:v>
      </x:c>
      <x:c r="G11" s="134" t="n">
        <x:v>36811</x:v>
      </x:c>
      <x:c r="H11" s="133" t="n">
        <x:v>25.05086937289462</x:v>
      </x:c>
      <x:c r="I11" s="134" t="n">
        <x:v>4</x:v>
      </x:c>
      <x:c r="J11" s="133" t="n">
        <x:v>6.779661016949152</x:v>
      </x:c>
      <x:c r="K11" s="133" t="n">
        <x:v>22.19445138715321</x:v>
      </x:c>
      <x:c r="L11" s="133" t="n">
        <x:v>22.33991178648466</x:v>
      </x:c>
      <x:c r="M11" s="133" t="n">
        <x:v>12.162162162162161</x:v>
      </x:c>
      <x:c r="N11" s="133" t="n">
        <x:v>14.12533170034701</x:v>
      </x:c>
      <x:c r="O11" s="135" t="n">
        <x:v>7</x:v>
      </x:c>
      <x:c r="P11" s="135" t="n">
        <x:v>7</x:v>
      </x:c>
    </x:row>
    <x:row r="12">
      <x:c r="A12" s="132" t="str">
        <x:v>Montgomery County</x:v>
      </x:c>
      <x:c r="B12" s="134" t="n">
        <x:v>71</x:v>
      </x:c>
      <x:c r="C12" s="134" t="n">
        <x:v>228954</x:v>
      </x:c>
      <x:c r="D12" s="134" t="n">
        <x:v>133248</x:v>
      </x:c>
      <x:c r="E12" s="134" t="n">
        <x:v>48105</x:v>
      </x:c>
      <x:c r="F12" s="133" t="n">
        <x:v>21.01077072250321</x:v>
      </x:c>
      <x:c r="G12" s="134" t="n">
        <x:v>33781</x:v>
      </x:c>
      <x:c r="H12" s="133" t="n">
        <x:v>25.351975264169067</x:v>
      </x:c>
      <x:c r="I12" s="134" t="n">
        <x:v>6</x:v>
      </x:c>
      <x:c r="J12" s="133" t="n">
        <x:v>8.450704225352112</x:v>
      </x:c>
      <x:c r="K12" s="133" t="n">
        <x:v>20.45141382187979</x:v>
      </x:c>
      <x:c r="L12" s="133" t="n">
        <x:v>20.835827392936825</x:v>
      </x:c>
      <x:c r="M12" s="133" t="n">
        <x:v>10.634390651085141</x:v>
      </x:c>
      <x:c r="N12" s="133" t="n">
        <x:v>11.250608799177444</x:v>
      </x:c>
      <x:c r="O12" s="135" t="n">
        <x:v>8</x:v>
      </x:c>
      <x:c r="P12" s="135" t="n">
        <x:v>6</x:v>
      </x:c>
    </x:row>
    <x:row r="13">
      <x:c r="A13" s="132" t="str">
        <x:v>Morgan County</x:v>
      </x:c>
      <x:c r="B13" s="134" t="n">
        <x:v>31</x:v>
      </x:c>
      <x:c r="C13" s="134" t="n">
        <x:v>123421</x:v>
      </x:c>
      <x:c r="D13" s="134" t="n">
        <x:v>83913</x:v>
      </x:c>
      <x:c r="E13" s="134" t="n">
        <x:v>25045</x:v>
      </x:c>
      <x:c r="F13" s="133" t="n">
        <x:v>20.292332747263433</x:v>
      </x:c>
      <x:c r="G13" s="134" t="n">
        <x:v>18222</x:v>
      </x:c>
      <x:c r="H13" s="133" t="n">
        <x:v>21.715348039040435</x:v>
      </x:c>
      <x:c r="I13" s="134" t="n">
        <x:v>2</x:v>
      </x:c>
      <x:c r="J13" s="133" t="n">
        <x:v>6.451612903225806</x:v>
      </x:c>
      <x:c r="K13" s="133" t="n">
        <x:v>20.572021764032073</x:v>
      </x:c>
      <x:c r="L13" s="133" t="n">
        <x:v>20.49606017191977</x:v>
      </x:c>
      <x:c r="M13" s="133" t="n">
        <x:v>14.573510501500214</x:v>
      </x:c>
      <x:c r="N13" s="133" t="n">
        <x:v>13.107928047968022</x:v>
      </x:c>
      <x:c r="O13" s="135" t="n">
        <x:v>9</x:v>
      </x:c>
      <x:c r="P13" s="135" t="n">
        <x:v>10</x:v>
      </x:c>
    </x:row>
    <x:row r="14">
      <x:c r="A14" s="132" t="str">
        <x:v>Calhoun County</x:v>
      </x:c>
      <x:c r="B14" s="134" t="n">
        <x:v>38</x:v>
      </x:c>
      <x:c r="C14" s="134" t="n">
        <x:v>116441</x:v>
      </x:c>
      <x:c r="D14" s="134" t="n">
        <x:v>66621</x:v>
      </x:c>
      <x:c r="E14" s="134" t="n">
        <x:v>24288</x:v>
      </x:c>
      <x:c r="F14" s="133" t="n">
        <x:v>20.858632268702603</x:v>
      </x:c>
      <x:c r="G14" s="134" t="n">
        <x:v>14618</x:v>
      </x:c>
      <x:c r="H14" s="133" t="n">
        <x:v>21.942030290749162</x:v>
      </x:c>
      <x:c r="I14" s="134" t="n">
        <x:v>10</x:v>
      </x:c>
      <x:c r="J14" s="133" t="n">
        <x:v>26.31578947368421</x:v>
      </x:c>
      <x:c r="K14" s="133" t="n">
        <x:v>21.203212984431932</x:v>
      </x:c>
      <x:c r="L14" s="133" t="n">
        <x:v>22.308302608857982</x:v>
      </x:c>
      <x:c r="M14" s="133" t="n">
        <x:v>18.921739130434784</x:v>
      </x:c>
      <x:c r="N14" s="133" t="n">
        <x:v>22.663522402879483</x:v>
      </x:c>
      <x:c r="O14" s="135" t="n">
        <x:v>10</x:v>
      </x:c>
      <x:c r="P14" s="135" t="n">
        <x:v>9</x:v>
      </x:c>
    </x:row>
    <x:row r="15">
      <x:c r="A15" s="132" t="str">
        <x:v>Limestone County</x:v>
      </x:c>
      <x:c r="B15" s="134" t="n">
        <x:v>23</x:v>
      </x:c>
      <x:c r="C15" s="134" t="n">
        <x:v>103570</x:v>
      </x:c>
      <x:c r="D15" s="134" t="n">
        <x:v>81077</x:v>
      </x:c>
      <x:c r="E15" s="134" t="n">
        <x:v>14838</x:v>
      </x:c>
      <x:c r="F15" s="133" t="n">
        <x:v>14.32654243506807</x:v>
      </x:c>
      <x:c r="G15" s="134" t="n">
        <x:v>12769</x:v>
      </x:c>
      <x:c r="H15" s="133" t="n">
        <x:v>15.749226044377567</x:v>
      </x:c>
      <x:c r="I15" s="134" t="n">
        <x:v>1</x:v>
      </x:c>
      <x:c r="J15" s="133" t="n">
        <x:v>4.3478260869565215</x:v>
      </x:c>
      <x:c r="K15" s="133" t="n">
        <x:v>16.573033707865168</x:v>
      </x:c>
      <x:c r="L15" s="133" t="n">
        <x:v>12.409381663113006</x:v>
      </x:c>
      <x:c r="M15" s="133" t="n">
        <x:v>7.904022582921666</x:v>
      </x:c>
      <x:c r="N15" s="133" t="n">
        <x:v>10.05524861878453</x:v>
      </x:c>
      <x:c r="O15" s="135" t="n">
        <x:v>11</x:v>
      </x:c>
      <x:c r="P15" s="135" t="n">
        <x:v>19</x:v>
      </x:c>
    </x:row>
    <x:row r="16">
      <x:c r="A16" s="132" t="str">
        <x:v>Houston County</x:v>
      </x:c>
      <x:c r="B16" s="134" t="n">
        <x:v>26</x:v>
      </x:c>
      <x:c r="C16" s="134" t="n">
        <x:v>107202</x:v>
      </x:c>
      <x:c r="D16" s="134" t="n">
        <x:v>66396</x:v>
      </x:c>
      <x:c r="E16" s="134" t="n">
        <x:v>13266</x:v>
      </x:c>
      <x:c r="F16" s="133" t="n">
        <x:v>12.374769127441652</x:v>
      </x:c>
      <x:c r="G16" s="134" t="n">
        <x:v>9301</x:v>
      </x:c>
      <x:c r="H16" s="133" t="n">
        <x:v>14.00837399843364</x:v>
      </x:c>
      <x:c r="I16" s="134" t="n">
        <x:v>1</x:v>
      </x:c>
      <x:c r="J16" s="133" t="n">
        <x:v>3.8461538461538463</x:v>
      </x:c>
      <x:c r="K16" s="133" t="n">
        <x:v>11.69571591464408</x:v>
      </x:c>
      <x:c r="L16" s="133" t="n">
        <x:v>13.371174728529121</x:v>
      </x:c>
      <x:c r="M16" s="133" t="n">
        <x:v>10.79700272479564</x:v>
      </x:c>
      <x:c r="N16" s="133" t="n">
        <x:v>7.811602527283171</x:v>
      </x:c>
      <x:c r="O16" s="135" t="n">
        <x:v>12</x:v>
      </x:c>
      <x:c r="P16" s="135" t="n">
        <x:v>22</x:v>
      </x:c>
    </x:row>
    <x:row r="17">
      <x:c r="A17" s="132" t="str">
        <x:v>Etowah County</x:v>
      </x:c>
      <x:c r="B17" s="134" t="n">
        <x:v>33</x:v>
      </x:c>
      <x:c r="C17" s="134" t="n">
        <x:v>103436</x:v>
      </x:c>
      <x:c r="D17" s="134" t="n">
        <x:v>61532</x:v>
      </x:c>
      <x:c r="E17" s="134" t="n">
        <x:v>15156</x:v>
      </x:c>
      <x:c r="F17" s="133" t="n">
        <x:v>14.652538767933795</x:v>
      </x:c>
      <x:c r="G17" s="134" t="n">
        <x:v>8612</x:v>
      </x:c>
      <x:c r="H17" s="133" t="n">
        <x:v>13.995969576805564</x:v>
      </x:c>
      <x:c r="I17" s="134" t="n">
        <x:v>3</x:v>
      </x:c>
      <x:c r="J17" s="133" t="n">
        <x:v>9.090909090909092</x:v>
      </x:c>
      <x:c r="K17" s="133" t="n">
        <x:v>14.201209948465157</x:v>
      </x:c>
      <x:c r="L17" s="133" t="n">
        <x:v>16.564774381368267</x:v>
      </x:c>
      <x:c r="M17" s="133" t="n">
        <x:v>12.94049682264587</x:v>
      </x:c>
      <x:c r="N17" s="133" t="n">
        <x:v>13.656244937631621</x:v>
      </x:c>
      <x:c r="O17" s="135" t="n">
        <x:v>13</x:v>
      </x:c>
      <x:c r="P17" s="135" t="n">
        <x:v>23</x:v>
      </x:c>
    </x:row>
    <x:row r="18">
      <x:c r="A18" s="132" t="str">
        <x:v>Marshall County</x:v>
      </x:c>
      <x:c r="B18" s="134" t="n">
        <x:v>26</x:v>
      </x:c>
      <x:c r="C18" s="134" t="n">
        <x:v>97612</x:v>
      </x:c>
      <x:c r="D18" s="134" t="n">
        <x:v>61435</x:v>
      </x:c>
      <x:c r="E18" s="134" t="n">
        <x:v>14890</x:v>
      </x:c>
      <x:c r="F18" s="133" t="n">
        <x:v>15.25427201573577</x:v>
      </x:c>
      <x:c r="G18" s="134" t="n">
        <x:v>8284</x:v>
      </x:c>
      <x:c r="H18" s="133" t="n">
        <x:v>13.48417026125173</x:v>
      </x:c>
      <x:c r="I18" s="134" t="n">
        <x:v>2</x:v>
      </x:c>
      <x:c r="J18" s="133" t="n">
        <x:v>7.6923076923076925</x:v>
      </x:c>
      <x:c r="K18" s="133" t="n">
        <x:v>16.18221077983556</x:v>
      </x:c>
      <x:c r="L18" s="133" t="n">
        <x:v>14.139663836423496</x:v>
      </x:c>
      <x:c r="M18" s="133" t="n">
        <x:v>15.869017632241814</x:v>
      </x:c>
      <x:c r="N18" s="133" t="n">
        <x:v>15.647163120567376</x:v>
      </x:c>
      <x:c r="O18" s="135" t="n">
        <x:v>14</x:v>
      </x:c>
      <x:c r="P18" s="135" t="n">
        <x:v>24</x:v>
      </x:c>
    </x:row>
    <x:row r="19">
      <x:c r="A19" s="132" t="str">
        <x:v>Autauga County</x:v>
      </x:c>
      <x:c r="B19" s="134" t="n">
        <x:v>17</x:v>
      </x:c>
      <x:c r="C19" s="134" t="n">
        <x:v>58805</x:v>
      </x:c>
      <x:c r="D19" s="134" t="n">
        <x:v>42372</x:v>
      </x:c>
      <x:c r="E19" s="134" t="n">
        <x:v>9950</x:v>
      </x:c>
      <x:c r="F19" s="133" t="n">
        <x:v>16.920329903919736</x:v>
      </x:c>
      <x:c r="G19" s="134" t="n">
        <x:v>6778</x:v>
      </x:c>
      <x:c r="H19" s="133" t="n">
        <x:v>15.996412725384689</x:v>
      </x:c>
      <x:c r="I19" s="134" t="n">
        <x:v>1</x:v>
      </x:c>
      <x:c r="J19" s="133" t="n">
        <x:v>5.882352941176471</x:v>
      </x:c>
      <x:c r="K19" s="133" t="n">
        <x:v>16.370256266629323</x:v>
      </x:c>
      <x:c r="L19" s="133" t="n">
        <x:v>17.8946229579141</x:v>
      </x:c>
      <x:c r="M19" s="133" t="n">
        <x:v>13.51636747624076</x:v>
      </x:c>
      <x:c r="N19" s="133" t="n">
        <x:v>18.33648393194707</x:v>
      </x:c>
      <x:c r="O19" s="135" t="n">
        <x:v>15</x:v>
      </x:c>
      <x:c r="P19" s="135" t="n">
        <x:v>16</x:v>
      </x:c>
    </x:row>
    <x:row r="20">
      <x:c r="A20" s="132" t="str">
        <x:v>Coffee County</x:v>
      </x:c>
      <x:c r="B20" s="134" t="n">
        <x:v>16</x:v>
      </x:c>
      <x:c r="C20" s="134" t="n">
        <x:v>53465</x:v>
      </x:c>
      <x:c r="D20" s="134" t="n">
        <x:v>35880</x:v>
      </x:c>
      <x:c r="E20" s="134" t="n">
        <x:v>8139</x:v>
      </x:c>
      <x:c r="F20" s="133" t="n">
        <x:v>15.22304311231647</x:v>
      </x:c>
      <x:c r="G20" s="134" t="n">
        <x:v>6297</x:v>
      </x:c>
      <x:c r="H20" s="133" t="n">
        <x:v>17.55016722408027</x:v>
      </x:c>
      <x:c r="I20" s="134" t="n">
        <x:v>1</x:v>
      </x:c>
      <x:c r="J20" s="133" t="n">
        <x:v>6.25</x:v>
      </x:c>
      <x:c r="K20" s="133" t="n">
        <x:v>16.54715940430226</x:v>
      </x:c>
      <x:c r="L20" s="133" t="n">
        <x:v>13.712876594832208</x:v>
      </x:c>
      <x:c r="M20" s="133" t="n">
        <x:v>11.03202846975089</x:v>
      </x:c>
      <x:c r="N20" s="133" t="n">
        <x:v>6.495655771617708</x:v>
      </x:c>
      <x:c r="O20" s="135" t="n">
        <x:v>16</x:v>
      </x:c>
      <x:c r="P20" s="135" t="n">
        <x:v>13</x:v>
      </x:c>
    </x:row>
    <x:row r="21">
      <x:c r="A21" s="132" t="str">
        <x:v>Talladega County</x:v>
      </x:c>
      <x:c r="B21" s="134" t="n">
        <x:v>24</x:v>
      </x:c>
      <x:c r="C21" s="134" t="n">
        <x:v>82149</x:v>
      </x:c>
      <x:c r="D21" s="134" t="n">
        <x:v>46464</x:v>
      </x:c>
      <x:c r="E21" s="134" t="n">
        <x:v>10232</x:v>
      </x:c>
      <x:c r="F21" s="133" t="n">
        <x:v>12.455416377557853</x:v>
      </x:c>
      <x:c r="G21" s="134" t="n">
        <x:v>6020</x:v>
      </x:c>
      <x:c r="H21" s="133" t="n">
        <x:v>12.956267217630854</x:v>
      </x:c>
      <x:c r="I21" s="134" t="n">
        <x:v>4</x:v>
      </x:c>
      <x:c r="J21" s="133" t="n">
        <x:v>16.666666666666668</x:v>
      </x:c>
      <x:c r="K21" s="133" t="n">
        <x:v>13.535766423357664</x:v>
      </x:c>
      <x:c r="L21" s="133" t="n">
        <x:v>12.001316655694536</x:v>
      </x:c>
      <x:c r="M21" s="133" t="n">
        <x:v>11.61987041036717</x:v>
      </x:c>
      <x:c r="N21" s="133" t="n">
        <x:v>10.355081336365226</x:v>
      </x:c>
      <x:c r="O21" s="135" t="n">
        <x:v>17</x:v>
      </x:c>
      <x:c r="P21" s="135" t="n">
        <x:v>28</x:v>
      </x:c>
    </x:row>
    <x:row r="22">
      <x:c r="A22" s="132" t="str">
        <x:v>Russell County</x:v>
      </x:c>
      <x:c r="B22" s="134" t="n">
        <x:v>18</x:v>
      </x:c>
      <x:c r="C22" s="134" t="n">
        <x:v>59183</x:v>
      </x:c>
      <x:c r="D22" s="134" t="n">
        <x:v>32203</x:v>
      </x:c>
      <x:c r="E22" s="134" t="n">
        <x:v>10045</x:v>
      </x:c>
      <x:c r="F22" s="133" t="n">
        <x:v>16.972779345420136</x:v>
      </x:c>
      <x:c r="G22" s="134" t="n">
        <x:v>5859</x:v>
      </x:c>
      <x:c r="H22" s="133" t="n">
        <x:v>18.19395708474366</x:v>
      </x:c>
      <x:c r="I22" s="134" t="n">
        <x:v>7</x:v>
      </x:c>
      <x:c r="J22" s="133" t="n">
        <x:v>38.888888888888886</x:v>
      </x:c>
      <x:c r="K22" s="133" t="n">
        <x:v>16.852847883050615</x:v>
      </x:c>
      <x:c r="L22" s="133" t="n">
        <x:v>18.12852800694746</x:v>
      </x:c>
      <x:c r="M22" s="133" t="n">
        <x:v>17.377731529656607</x:v>
      </x:c>
      <x:c r="N22" s="133" t="n">
        <x:v>19.422517656834234</x:v>
      </x:c>
      <x:c r="O22" s="135" t="n">
        <x:v>18</x:v>
      </x:c>
      <x:c r="P22" s="135" t="n">
        <x:v>12</x:v>
      </x:c>
    </x:row>
    <x:row r="23">
      <x:c r="A23" s="132" t="str">
        <x:v>Elmore County</x:v>
      </x:c>
      <x:c r="B23" s="134" t="n">
        <x:v>20</x:v>
      </x:c>
      <x:c r="C23" s="134" t="n">
        <x:v>87977</x:v>
      </x:c>
      <x:c r="D23" s="134" t="n">
        <x:v>62693</x:v>
      </x:c>
      <x:c r="E23" s="134" t="n">
        <x:v>7536</x:v>
      </x:c>
      <x:c r="F23" s="133" t="n">
        <x:v>8.565875171919934</x:v>
      </x:c>
      <x:c r="G23" s="134" t="n">
        <x:v>5295</x:v>
      </x:c>
      <x:c r="H23" s="133" t="n">
        <x:v>8.44591900212145</x:v>
      </x:c>
      <x:c r="I23" s="134" t="n">
        <x:v>1</x:v>
      </x:c>
      <x:c r="J23" s="133" t="n">
        <x:v>5</x:v>
      </x:c>
      <x:c r="K23" s="133" t="n">
        <x:v>9.20830697870546</x:v>
      </x:c>
      <x:c r="L23" s="133" t="n">
        <x:v>8.11234576317404</x:v>
      </x:c>
      <x:c r="M23" s="133" t="n">
        <x:v>7.816711590296496</x:v>
      </x:c>
      <x:c r="N23" s="133" t="n">
        <x:v>9.523809523809524</x:v>
      </x:c>
      <x:c r="O23" s="135" t="n">
        <x:v>19</x:v>
      </x:c>
      <x:c r="P23" s="135" t="n">
        <x:v>35</x:v>
      </x:c>
    </x:row>
    <x:row r="24">
      <x:c r="A24" s="132" t="str">
        <x:v>Lauderdale County</x:v>
      </x:c>
      <x:c r="B24" s="134" t="n">
        <x:v>26</x:v>
      </x:c>
      <x:c r="C24" s="134" t="n">
        <x:v>93564</x:v>
      </x:c>
      <x:c r="D24" s="134" t="n">
        <x:v>64462</x:v>
      </x:c>
      <x:c r="E24" s="134" t="n">
        <x:v>7365</x:v>
      </x:c>
      <x:c r="F24" s="133" t="n">
        <x:v>7.871617288700782</x:v>
      </x:c>
      <x:c r="G24" s="134" t="n">
        <x:v>5268</x:v>
      </x:c>
      <x:c r="H24" s="133" t="n">
        <x:v>8.172256523222984</x:v>
      </x:c>
      <x:c r="I24" s="134" t="n">
        <x:v>1</x:v>
      </x:c>
      <x:c r="J24" s="133" t="n">
        <x:v>3.8461538461538463</x:v>
      </x:c>
      <x:c r="K24" s="133" t="n">
        <x:v>7.230917667238422</x:v>
      </x:c>
      <x:c r="L24" s="133" t="n">
        <x:v>9.368432114333753</x:v>
      </x:c>
      <x:c r="M24" s="133" t="n">
        <x:v>3.616273229532898</x:v>
      </x:c>
      <x:c r="N24" s="133" t="n">
        <x:v>5.6050955414012735</x:v>
      </x:c>
      <x:c r="O24" s="135" t="n">
        <x:v>20</x:v>
      </x:c>
      <x:c r="P24" s="135" t="n">
        <x:v>37</x:v>
      </x:c>
    </x:row>
    <x:row r="25">
      <x:c r="A25" s="132" t="str">
        <x:v>St. Clair County</x:v>
      </x:c>
      <x:c r="B25" s="134" t="n">
        <x:v>24</x:v>
      </x:c>
      <x:c r="C25" s="134" t="n">
        <x:v>91103</x:v>
      </x:c>
      <x:c r="D25" s="134" t="n">
        <x:v>66917</x:v>
      </x:c>
      <x:c r="E25" s="134" t="n">
        <x:v>5486</x:v>
      </x:c>
      <x:c r="F25" s="133" t="n">
        <x:v>6.0217555953151924</x:v>
      </x:c>
      <x:c r="G25" s="134" t="n">
        <x:v>4438</x:v>
      </x:c>
      <x:c r="H25" s="133" t="n">
        <x:v>6.632096477726138</x:v>
      </x:c>
      <x:c r="I25" s="134" t="n">
        <x:v>0</x:v>
      </x:c>
      <x:c r="J25" s="133" t="n">
        <x:v>0</x:v>
      </x:c>
      <x:c r="K25" s="133" t="n">
        <x:v>5.2734282042739515</x:v>
      </x:c>
      <x:c r="L25" s="133" t="n">
        <x:v>7.202722288739051</x:v>
      </x:c>
      <x:c r="M25" s="133" t="n">
        <x:v>5.188679245283019</x:v>
      </x:c>
      <x:c r="N25" s="133" t="n">
        <x:v>3.687353934043106</x:v>
      </x:c>
      <x:c r="O25" s="135" t="n">
        <x:v>21</x:v>
      </x:c>
      <x:c r="P25" s="135" t="n">
        <x:v>43</x:v>
      </x:c>
    </x:row>
    <x:row r="26">
      <x:c r="A26" s="132" t="str">
        <x:v>Chilton County</x:v>
      </x:c>
      <x:c r="B26" s="134" t="n">
        <x:v>12</x:v>
      </x:c>
      <x:c r="C26" s="134" t="n">
        <x:v>45014</x:v>
      </x:c>
      <x:c r="D26" s="134" t="n">
        <x:v>28985</x:v>
      </x:c>
      <x:c r="E26" s="134" t="n">
        <x:v>6666</x:v>
      </x:c>
      <x:c r="F26" s="133" t="n">
        <x:v>14.808726174079176</x:v>
      </x:c>
      <x:c r="G26" s="134" t="n">
        <x:v>3829</x:v>
      </x:c>
      <x:c r="H26" s="133" t="n">
        <x:v>13.21028117992065</x:v>
      </x:c>
      <x:c r="I26" s="134" t="n">
        <x:v>1</x:v>
      </x:c>
      <x:c r="J26" s="133" t="n">
        <x:v>8.333333333333334</x:v>
      </x:c>
      <x:c r="K26" s="133" t="n">
        <x:v>14.91203311694421</x:v>
      </x:c>
      <x:c r="L26" s="133" t="n">
        <x:v>15.704088254380272</x:v>
      </x:c>
      <x:c r="M26" s="133" t="n">
        <x:v>13.375796178343949</x:v>
      </x:c>
      <x:c r="N26" s="133" t="n">
        <x:v>17.87217757367011</x:v>
      </x:c>
      <x:c r="O26" s="135" t="n">
        <x:v>22</x:v>
      </x:c>
      <x:c r="P26" s="135" t="n">
        <x:v>25</x:v>
      </x:c>
    </x:row>
    <x:row r="27">
      <x:c r="A27" s="132" t="str">
        <x:v>Colbert County</x:v>
      </x:c>
      <x:c r="B27" s="134" t="n">
        <x:v>15</x:v>
      </x:c>
      <x:c r="C27" s="134" t="n">
        <x:v>57227</x:v>
      </x:c>
      <x:c r="D27" s="134" t="n">
        <x:v>38783</x:v>
      </x:c>
      <x:c r="E27" s="134" t="n">
        <x:v>4516</x:v>
      </x:c>
      <x:c r="F27" s="133" t="n">
        <x:v>7.891379943033883</x:v>
      </x:c>
      <x:c r="G27" s="134" t="n">
        <x:v>3549</x:v>
      </x:c>
      <x:c r="H27" s="133" t="n">
        <x:v>9.150916638733465</x:v>
      </x:c>
      <x:c r="I27" s="134" t="n">
        <x:v>1</x:v>
      </x:c>
      <x:c r="J27" s="133" t="n">
        <x:v>6.666666666666667</x:v>
      </x:c>
      <x:c r="K27" s="133" t="n">
        <x:v>7.6384887645073665</x:v>
      </x:c>
      <x:c r="L27" s="133" t="n">
        <x:v>8.654775503031368</x:v>
      </x:c>
      <x:c r="M27" s="133" t="n">
        <x:v>6.840684068406841</x:v>
      </x:c>
      <x:c r="N27" s="133" t="n">
        <x:v>6.2019914651493595</x:v>
      </x:c>
      <x:c r="O27" s="135" t="n">
        <x:v>23</x:v>
      </x:c>
      <x:c r="P27" s="135" t="n">
        <x:v>32</x:v>
      </x:c>
    </x:row>
    <x:row r="28">
      <x:c r="A28" s="132" t="str">
        <x:v>Cullman County</x:v>
      </x:c>
      <x:c r="B28" s="134" t="n">
        <x:v>22</x:v>
      </x:c>
      <x:c r="C28" s="134" t="n">
        <x:v>87866</x:v>
      </x:c>
      <x:c r="D28" s="134" t="n">
        <x:v>56340</x:v>
      </x:c>
      <x:c r="E28" s="134" t="n">
        <x:v>3981</x:v>
      </x:c>
      <x:c r="F28" s="133" t="n">
        <x:v>4.530762752372931</x:v>
      </x:c>
      <x:c r="G28" s="134" t="n">
        <x:v>3114</x:v>
      </x:c>
      <x:c r="H28" s="133" t="n">
        <x:v>5.527156549520766</x:v>
      </x:c>
      <x:c r="I28" s="134" t="n">
        <x:v>2</x:v>
      </x:c>
      <x:c r="J28" s="133" t="n">
        <x:v>9.090909090909092</x:v>
      </x:c>
      <x:c r="K28" s="133" t="n">
        <x:v>4.667278100478956</x:v>
      </x:c>
      <x:c r="L28" s="133" t="n">
        <x:v>4.532067079401334</x:v>
      </x:c>
      <x:c r="M28" s="133" t="n">
        <x:v>6.500445235975067</x:v>
      </x:c>
      <x:c r="N28" s="133" t="n">
        <x:v>3.9082412914188613</x:v>
      </x:c>
      <x:c r="O28" s="135" t="n">
        <x:v>24</x:v>
      </x:c>
      <x:c r="P28" s="135" t="n">
        <x:v>49</x:v>
      </x:c>
    </x:row>
    <x:row r="29">
      <x:c r="A29" s="132" t="str">
        <x:v>Franklin County</x:v>
      </x:c>
      <x:c r="B29" s="134" t="n">
        <x:v>11</x:v>
      </x:c>
      <x:c r="C29" s="134" t="n">
        <x:v>32113</x:v>
      </x:c>
      <x:c r="D29" s="134" t="n">
        <x:v>17735</x:v>
      </x:c>
      <x:c r="E29" s="134" t="n">
        <x:v>4548</x:v>
      </x:c>
      <x:c r="F29" s="133" t="n">
        <x:v>14.16248871173668</x:v>
      </x:c>
      <x:c r="G29" s="134" t="n">
        <x:v>2504</x:v>
      </x:c>
      <x:c r="H29" s="133" t="n">
        <x:v>14.118973780659713</x:v>
      </x:c>
      <x:c r="I29" s="134" t="n">
        <x:v>1</x:v>
      </x:c>
      <x:c r="J29" s="133" t="n">
        <x:v>9.090909090909092</x:v>
      </x:c>
      <x:c r="K29" s="133" t="n">
        <x:v>15.961867514055243</x:v>
      </x:c>
      <x:c r="L29" s="133" t="n">
        <x:v>12.506816942374114</x:v>
      </x:c>
      <x:c r="M29" s="133" t="n">
        <x:v>12.958963282937365</x:v>
      </x:c>
      <x:c r="N29" s="133" t="n">
        <x:v>17.560771165129925</x:v>
      </x:c>
      <x:c r="O29" s="135" t="n">
        <x:v>25</x:v>
      </x:c>
      <x:c r="P29" s="135" t="n">
        <x:v>21</x:v>
      </x:c>
    </x:row>
    <x:row r="30">
      <x:c r="A30" s="132" t="str">
        <x:v>Macon County</x:v>
      </x:c>
      <x:c r="B30" s="134" t="n">
        <x:v>12</x:v>
      </x:c>
      <x:c r="C30" s="134" t="n">
        <x:v>19532</x:v>
      </x:c>
      <x:c r="D30" s="134" t="n">
        <x:v>8033</x:v>
      </x:c>
      <x:c r="E30" s="134" t="n">
        <x:v>7772</x:v>
      </x:c>
      <x:c r="F30" s="133" t="n">
        <x:v>39.79111202129838</x:v>
      </x:c>
      <x:c r="G30" s="134" t="n">
        <x:v>2498</x:v>
      </x:c>
      <x:c r="H30" s="133" t="n">
        <x:v>31.096726005228433</x:v>
      </x:c>
      <x:c r="I30" s="134" t="n">
        <x:v>5</x:v>
      </x:c>
      <x:c r="J30" s="133" t="n">
        <x:v>41.666666666666664</x:v>
      </x:c>
      <x:c r="K30" s="133" t="n">
        <x:v>35.45069570477919</x:v>
      </x:c>
      <x:c r="L30" s="133" t="n">
        <x:v>32.71004098360656</x:v>
      </x:c>
      <x:c r="M30" s="133" t="n">
        <x:v>53.768115942028984</x:v>
      </x:c>
      <x:c r="N30" s="133" t="n">
        <x:v>46.07449856733524</x:v>
      </x:c>
      <x:c r="O30" s="135" t="n">
        <x:v>26</x:v>
      </x:c>
      <x:c r="P30" s="135" t="n">
        <x:v>4</x:v>
      </x:c>
    </x:row>
    <x:row r="31">
      <x:c r="A31" s="132" t="str">
        <x:v>Walker County</x:v>
      </x:c>
      <x:c r="B31" s="134" t="n">
        <x:v>20</x:v>
      </x:c>
      <x:c r="C31" s="134" t="n">
        <x:v>65342</x:v>
      </x:c>
      <x:c r="D31" s="134" t="n">
        <x:v>39399</x:v>
      </x:c>
      <x:c r="E31" s="134" t="n">
        <x:v>3778</x:v>
      </x:c>
      <x:c r="F31" s="133" t="n">
        <x:v>5.7818860763368125</x:v>
      </x:c>
      <x:c r="G31" s="134" t="n">
        <x:v>2373</x:v>
      </x:c>
      <x:c r="H31" s="133" t="n">
        <x:v>6.02299550750019</x:v>
      </x:c>
      <x:c r="I31" s="134" t="n">
        <x:v>1</x:v>
      </x:c>
      <x:c r="J31" s="133" t="n">
        <x:v>5</x:v>
      </x:c>
      <x:c r="K31" s="133" t="n">
        <x:v>5.83546617915905</x:v>
      </x:c>
      <x:c r="L31" s="133" t="n">
        <x:v>6.379028664785386</x:v>
      </x:c>
      <x:c r="M31" s="133" t="n">
        <x:v>11.137629276054097</x:v>
      </x:c>
      <x:c r="N31" s="133" t="n">
        <x:v>10.242290748898679</x:v>
      </x:c>
      <x:c r="O31" s="135" t="n">
        <x:v>27</x:v>
      </x:c>
      <x:c r="P31" s="135" t="n">
        <x:v>47</x:v>
      </x:c>
    </x:row>
    <x:row r="32">
      <x:c r="A32" s="132" t="str">
        <x:v>Dallas County</x:v>
      </x:c>
      <x:c r="B32" s="134" t="n">
        <x:v>17</x:v>
      </x:c>
      <x:c r="C32" s="134" t="n">
        <x:v>38462</x:v>
      </x:c>
      <x:c r="D32" s="134" t="n">
        <x:v>16719</x:v>
      </x:c>
      <x:c r="E32" s="134" t="n">
        <x:v>4303</x:v>
      </x:c>
      <x:c r="F32" s="133" t="n">
        <x:v>11.187665748011025</x:v>
      </x:c>
      <x:c r="G32" s="134" t="n">
        <x:v>2180</x:v>
      </x:c>
      <x:c r="H32" s="133" t="n">
        <x:v>13.039057359889945</x:v>
      </x:c>
      <x:c r="I32" s="134" t="n">
        <x:v>2</x:v>
      </x:c>
      <x:c r="J32" s="133" t="n">
        <x:v>11.764705882352942</x:v>
      </x:c>
      <x:c r="K32" s="133" t="n">
        <x:v>11.14250197762459</x:v>
      </x:c>
      <x:c r="L32" s="133" t="n">
        <x:v>11.526351813826146</x:v>
      </x:c>
      <x:c r="M32" s="133" t="n">
        <x:v>10.638297872340425</x:v>
      </x:c>
      <x:c r="N32" s="133" t="n">
        <x:v>11.118820468343452</x:v>
      </x:c>
      <x:c r="O32" s="135" t="n">
        <x:v>28</x:v>
      </x:c>
      <x:c r="P32" s="135" t="n">
        <x:v>26</x:v>
      </x:c>
    </x:row>
    <x:row r="33">
      <x:c r="A33" s="132" t="str">
        <x:v>Jackson County</x:v>
      </x:c>
      <x:c r="B33" s="134" t="n">
        <x:v>16</x:v>
      </x:c>
      <x:c r="C33" s="134" t="n">
        <x:v>52579</x:v>
      </x:c>
      <x:c r="D33" s="134" t="n">
        <x:v>30141</x:v>
      </x:c>
      <x:c r="E33" s="134" t="n">
        <x:v>3804</x:v>
      </x:c>
      <x:c r="F33" s="133" t="n">
        <x:v>7.234827592765172</x:v>
      </x:c>
      <x:c r="G33" s="134" t="n">
        <x:v>2142</x:v>
      </x:c>
      <x:c r="H33" s="133" t="n">
        <x:v>7.106598984771574</x:v>
      </x:c>
      <x:c r="I33" s="134" t="n">
        <x:v>2</x:v>
      </x:c>
      <x:c r="J33" s="133" t="n">
        <x:v>12.5</x:v>
      </x:c>
      <x:c r="K33" s="133" t="n">
        <x:v>7.13162519655906</x:v>
      </x:c>
      <x:c r="L33" s="133" t="n">
        <x:v>7.177076742294133</x:v>
      </x:c>
      <x:c r="M33" s="133" t="n">
        <x:v>7.992565055762082</x:v>
      </x:c>
      <x:c r="N33" s="133" t="n">
        <x:v>8.773234200743495</x:v>
      </x:c>
      <x:c r="O33" s="135" t="n">
        <x:v>29</x:v>
      </x:c>
      <x:c r="P33" s="135" t="n">
        <x:v>41</x:v>
      </x:c>
    </x:row>
    <x:row r="34">
      <x:c r="A34" s="132" t="str">
        <x:v>Chambers County</x:v>
      </x:c>
      <x:c r="B34" s="134" t="n">
        <x:v>9</x:v>
      </x:c>
      <x:c r="C34" s="134" t="n">
        <x:v>34772</x:v>
      </x:c>
      <x:c r="D34" s="134" t="n">
        <x:v>19163</x:v>
      </x:c>
      <x:c r="E34" s="134" t="n">
        <x:v>4042</x:v>
      </x:c>
      <x:c r="F34" s="133" t="n">
        <x:v>11.62429541010008</x:v>
      </x:c>
      <x:c r="G34" s="134" t="n">
        <x:v>2048</x:v>
      </x:c>
      <x:c r="H34" s="133" t="n">
        <x:v>10.687261910974273</x:v>
      </x:c>
      <x:c r="I34" s="134" t="n">
        <x:v>3</x:v>
      </x:c>
      <x:c r="J34" s="133" t="n">
        <x:v>33.333333333333336</x:v>
      </x:c>
      <x:c r="K34" s="133" t="n">
        <x:v>12.920784987824094</x:v>
      </x:c>
      <x:c r="L34" s="133" t="n">
        <x:v>10.658482142857142</x:v>
      </x:c>
      <x:c r="M34" s="133" t="n">
        <x:v>8.646998982706002</x:v>
      </x:c>
      <x:c r="N34" s="133" t="n">
        <x:v>11.401098901098901</x:v>
      </x:c>
      <x:c r="O34" s="135" t="n">
        <x:v>30</x:v>
      </x:c>
      <x:c r="P34" s="135" t="n">
        <x:v>30</x:v>
      </x:c>
    </x:row>
    <x:row r="35">
      <x:c r="A35" s="132" t="str">
        <x:v>Marengo County</x:v>
      </x:c>
      <x:c r="B35" s="134" t="n">
        <x:v>8</x:v>
      </x:c>
      <x:c r="C35" s="134" t="n">
        <x:v>19323</x:v>
      </x:c>
      <x:c r="D35" s="134" t="n">
        <x:v>10498</x:v>
      </x:c>
      <x:c r="E35" s="134" t="n">
        <x:v>3561</x:v>
      </x:c>
      <x:c r="F35" s="133" t="n">
        <x:v>18.428815401335196</x:v>
      </x:c>
      <x:c r="G35" s="134" t="n">
        <x:v>1970</x:v>
      </x:c>
      <x:c r="H35" s="133" t="n">
        <x:v>18.765479138883595</x:v>
      </x:c>
      <x:c r="I35" s="134" t="n">
        <x:v>1</x:v>
      </x:c>
      <x:c r="J35" s="133" t="n">
        <x:v>12.5</x:v>
      </x:c>
      <x:c r="K35" s="133" t="n">
        <x:v>20.866510538641688</x:v>
      </x:c>
      <x:c r="L35" s="133" t="n">
        <x:v>16.696315120711564</x:v>
      </x:c>
      <x:c r="M35" s="133" t="n">
        <x:v>23.200992555831267</x:v>
      </x:c>
      <x:c r="N35" s="133" t="n">
        <x:v>27.697262479871174</x:v>
      </x:c>
      <x:c r="O35" s="135" t="n">
        <x:v>31</x:v>
      </x:c>
      <x:c r="P35" s="135" t="n">
        <x:v>11</x:v>
      </x:c>
    </x:row>
    <x:row r="36">
      <x:c r="A36" s="132" t="str">
        <x:v>Dale County</x:v>
      </x:c>
      <x:c r="B36" s="134" t="n">
        <x:v>14</x:v>
      </x:c>
      <x:c r="C36" s="134" t="n">
        <x:v>49326</x:v>
      </x:c>
      <x:c r="D36" s="134" t="n">
        <x:v>28758</x:v>
      </x:c>
      <x:c r="E36" s="134" t="n">
        <x:v>3758</x:v>
      </x:c>
      <x:c r="F36" s="133" t="n">
        <x:v>7.618700077038478</x:v>
      </x:c>
      <x:c r="G36" s="134" t="n">
        <x:v>1879</x:v>
      </x:c>
      <x:c r="H36" s="133" t="n">
        <x:v>6.533834063564921</x:v>
      </x:c>
      <x:c r="I36" s="134" t="n">
        <x:v>1</x:v>
      </x:c>
      <x:c r="J36" s="133" t="n">
        <x:v>7.142857142857143</x:v>
      </x:c>
      <x:c r="K36" s="133" t="n">
        <x:v>6.907253059053024</x:v>
      </x:c>
      <x:c r="L36" s="133" t="n">
        <x:v>9.706916764361079</x:v>
      </x:c>
      <x:c r="M36" s="133" t="n">
        <x:v>9.08289241622575</x:v>
      </x:c>
      <x:c r="N36" s="133" t="n">
        <x:v>10.695628265053616</x:v>
      </x:c>
      <x:c r="O36" s="135" t="n">
        <x:v>32</x:v>
      </x:c>
      <x:c r="P36" s="135" t="n">
        <x:v>44</x:v>
      </x:c>
    </x:row>
    <x:row r="37">
      <x:c r="A37" s="132" t="str">
        <x:v>Monroe County</x:v>
      </x:c>
      <x:c r="B37" s="134" t="n">
        <x:v>9</x:v>
      </x:c>
      <x:c r="C37" s="134" t="n">
        <x:v>19772</x:v>
      </x:c>
      <x:c r="D37" s="134" t="n">
        <x:v>11104</x:v>
      </x:c>
      <x:c r="E37" s="134" t="n">
        <x:v>2475</x:v>
      </x:c>
      <x:c r="F37" s="133" t="n">
        <x:v>12.517701800525996</x:v>
      </x:c>
      <x:c r="G37" s="134" t="n">
        <x:v>1589</x:v>
      </x:c>
      <x:c r="H37" s="133" t="n">
        <x:v>14.310158501440922</x:v>
      </x:c>
      <x:c r="I37" s="134" t="n">
        <x:v>2</x:v>
      </x:c>
      <x:c r="J37" s="133" t="n">
        <x:v>22.22222222222222</x:v>
      </x:c>
      <x:c r="K37" s="133" t="n">
        <x:v>12.137767220902612</x:v>
      </x:c>
      <x:c r="L37" s="133" t="n">
        <x:v>13.704339298847756</x:v>
      </x:c>
      <x:c r="M37" s="133" t="n">
        <x:v>13.738019169329073</x:v>
      </x:c>
      <x:c r="N37" s="133" t="n">
        <x:v>15.922330097087379</x:v>
      </x:c>
      <x:c r="O37" s="135" t="n">
        <x:v>33</x:v>
      </x:c>
      <x:c r="P37" s="135" t="n">
        <x:v>20</x:v>
      </x:c>
    </x:row>
    <x:row r="38">
      <x:c r="A38" s="132" t="str">
        <x:v>Barbour County</x:v>
      </x:c>
      <x:c r="B38" s="134" t="n">
        <x:v>9</x:v>
      </x:c>
      <x:c r="C38" s="134" t="n">
        <x:v>25223</x:v>
      </x:c>
      <x:c r="D38" s="134" t="n">
        <x:v>11336</x:v>
      </x:c>
      <x:c r="E38" s="134" t="n">
        <x:v>2783</x:v>
      </x:c>
      <x:c r="F38" s="133" t="n">
        <x:v>11.033580462276493</x:v>
      </x:c>
      <x:c r="G38" s="134" t="n">
        <x:v>1242</x:v>
      </x:c>
      <x:c r="H38" s="133" t="n">
        <x:v>10.956245589273113</x:v>
      </x:c>
      <x:c r="I38" s="134" t="n">
        <x:v>2</x:v>
      </x:c>
      <x:c r="J38" s="133" t="n">
        <x:v>22.22222222222222</x:v>
      </x:c>
      <x:c r="K38" s="133" t="n">
        <x:v>12.694045981528788</x:v>
      </x:c>
      <x:c r="L38" s="133" t="n">
        <x:v>10.640799529688419</x:v>
      </x:c>
      <x:c r="M38" s="133" t="n">
        <x:v>12.421711899791232</x:v>
      </x:c>
      <x:c r="N38" s="133" t="n">
        <x:v>11.322696860524962</x:v>
      </x:c>
      <x:c r="O38" s="135" t="n">
        <x:v>34</x:v>
      </x:c>
      <x:c r="P38" s="135" t="n">
        <x:v>29</x:v>
      </x:c>
    </x:row>
    <x:row r="39">
      <x:c r="A39" s="132" t="str">
        <x:v>Pike County</x:v>
      </x:c>
      <x:c r="B39" s="134" t="n">
        <x:v>11</x:v>
      </x:c>
      <x:c r="C39" s="134" t="n">
        <x:v>33009</x:v>
      </x:c>
      <x:c r="D39" s="134" t="n">
        <x:v>16705</x:v>
      </x:c>
      <x:c r="E39" s="134" t="n">
        <x:v>2132</x:v>
      </x:c>
      <x:c r="F39" s="133" t="n">
        <x:v>6.458844557544912</x:v>
      </x:c>
      <x:c r="G39" s="134" t="n">
        <x:v>1239</x:v>
      </x:c>
      <x:c r="H39" s="133" t="n">
        <x:v>7.416941035618079</x:v>
      </x:c>
      <x:c r="I39" s="134" t="n">
        <x:v>0</x:v>
      </x:c>
      <x:c r="J39" s="133" t="n">
        <x:v>0</x:v>
      </x:c>
      <x:c r="K39" s="133" t="n">
        <x:v>7.306451612903226</x:v>
      </x:c>
      <x:c r="L39" s="133" t="n">
        <x:v>6.478252890438613</x:v>
      </x:c>
      <x:c r="M39" s="133" t="n">
        <x:v>3.2078103207810322</x:v>
      </x:c>
      <x:c r="N39" s="133" t="n">
        <x:v>4.77751756440281</x:v>
      </x:c>
      <x:c r="O39" s="135" t="n">
        <x:v>35</x:v>
      </x:c>
      <x:c r="P39" s="135" t="n">
        <x:v>39</x:v>
      </x:c>
    </x:row>
    <x:row r="40">
      <x:c r="A40" s="132" t="str">
        <x:v>Tallapoosa County</x:v>
      </x:c>
      <x:c r="B40" s="134" t="n">
        <x:v>12</x:v>
      </x:c>
      <x:c r="C40" s="134" t="n">
        <x:v>41311</x:v>
      </x:c>
      <x:c r="D40" s="134" t="n">
        <x:v>25073</x:v>
      </x:c>
      <x:c r="E40" s="134" t="n">
        <x:v>2320</x:v>
      </x:c>
      <x:c r="F40" s="133" t="n">
        <x:v>5.615937643726852</x:v>
      </x:c>
      <x:c r="G40" s="134" t="n">
        <x:v>1222</x:v>
      </x:c>
      <x:c r="H40" s="133" t="n">
        <x:v>4.873768595700555</x:v>
      </x:c>
      <x:c r="I40" s="134" t="n">
        <x:v>1</x:v>
      </x:c>
      <x:c r="J40" s="133" t="n">
        <x:v>8.333333333333334</x:v>
      </x:c>
      <x:c r="K40" s="133" t="n">
        <x:v>6.434510181949633</x:v>
      </x:c>
      <x:c r="L40" s="133" t="n">
        <x:v>4.722461273666093</x:v>
      </x:c>
      <x:c r="M40" s="133" t="n">
        <x:v>5.763397371081901</x:v>
      </x:c>
      <x:c r="N40" s="133" t="n">
        <x:v>8.12720848056537</x:v>
      </x:c>
      <x:c r="O40" s="135" t="n">
        <x:v>36</x:v>
      </x:c>
      <x:c r="P40" s="135" t="n">
        <x:v>50</x:v>
      </x:c>
    </x:row>
    <x:row r="41">
      <x:c r="A41" s="132" t="str">
        <x:v>Escambia County</x:v>
      </x:c>
      <x:c r="B41" s="134" t="n">
        <x:v>10</x:v>
      </x:c>
      <x:c r="C41" s="134" t="n">
        <x:v>36757</x:v>
      </x:c>
      <x:c r="D41" s="134" t="n">
        <x:v>18421</x:v>
      </x:c>
      <x:c r="E41" s="134" t="n">
        <x:v>2046</x:v>
      </x:c>
      <x:c r="F41" s="133" t="n">
        <x:v>5.566286693690998</x:v>
      </x:c>
      <x:c r="G41" s="134" t="n">
        <x:v>1106</x:v>
      </x:c>
      <x:c r="H41" s="133" t="n">
        <x:v>6.0040171543347265</x:v>
      </x:c>
      <x:c r="I41" s="134" t="n">
        <x:v>1</x:v>
      </x:c>
      <x:c r="J41" s="133" t="n">
        <x:v>10</x:v>
      </x:c>
      <x:c r="K41" s="133" t="n">
        <x:v>5.573209484233684</x:v>
      </x:c>
      <x:c r="L41" s="133" t="n">
        <x:v>6.009547879809042</x:v>
      </x:c>
      <x:c r="M41" s="133" t="n">
        <x:v>1.771117166212534</x:v>
      </x:c>
      <x:c r="N41" s="133" t="n">
        <x:v>4.531410916580844</x:v>
      </x:c>
      <x:c r="O41" s="135" t="n">
        <x:v>37</x:v>
      </x:c>
      <x:c r="P41" s="135" t="n">
        <x:v>48</x:v>
      </x:c>
    </x:row>
    <x:row r="42">
      <x:c r="A42" s="132" t="str">
        <x:v>Clarke County</x:v>
      </x:c>
      <x:c r="B42" s="134" t="n">
        <x:v>9</x:v>
      </x:c>
      <x:c r="C42" s="134" t="n">
        <x:v>23087</x:v>
      </x:c>
      <x:c r="D42" s="134" t="n">
        <x:v>13522</x:v>
      </x:c>
      <x:c r="E42" s="134" t="n">
        <x:v>1523</x:v>
      </x:c>
      <x:c r="F42" s="133" t="n">
        <x:v>6.5967860700827305</x:v>
      </x:c>
      <x:c r="G42" s="134" t="n">
        <x:v>937</x:v>
      </x:c>
      <x:c r="H42" s="133" t="n">
        <x:v>6.929448306463541</x:v>
      </x:c>
      <x:c r="I42" s="134" t="n">
        <x:v>0</x:v>
      </x:c>
      <x:c r="J42" s="133" t="n">
        <x:v>0</x:v>
      </x:c>
      <x:c r="K42" s="133" t="n">
        <x:v>6.986357999173212</x:v>
      </x:c>
      <x:c r="L42" s="133" t="n">
        <x:v>6.161825726141079</x:v>
      </x:c>
      <x:c r="M42" s="133" t="n">
        <x:v>6.639427987742595</x:v>
      </x:c>
      <x:c r="N42" s="133" t="n">
        <x:v>7.060010085728694</x:v>
      </x:c>
      <x:c r="O42" s="135" t="n">
        <x:v>38</x:v>
      </x:c>
      <x:c r="P42" s="135" t="n">
        <x:v>42</x:v>
      </x:c>
    </x:row>
    <x:row r="43">
      <x:c r="A43" s="132" t="str">
        <x:v>Wilcox County</x:v>
      </x:c>
      <x:c r="B43" s="134" t="n">
        <x:v>5</x:v>
      </x:c>
      <x:c r="C43" s="134" t="n">
        <x:v>10600</x:v>
      </x:c>
      <x:c r="D43" s="134" t="n">
        <x:v>4902</x:v>
      </x:c>
      <x:c r="E43" s="134" t="n">
        <x:v>1797</x:v>
      </x:c>
      <x:c r="F43" s="133" t="n">
        <x:v>16.952830188679247</x:v>
      </x:c>
      <x:c r="G43" s="134" t="n">
        <x:v>860</x:v>
      </x:c>
      <x:c r="H43" s="133" t="n">
        <x:v>17.54385964912281</x:v>
      </x:c>
      <x:c r="I43" s="134" t="n">
        <x:v>2</x:v>
      </x:c>
      <x:c r="J43" s="133" t="n">
        <x:v>40</x:v>
      </x:c>
      <x:c r="K43" s="133" t="n">
        <x:v>17.22222222222222</x:v>
      </x:c>
      <x:c r="L43" s="133" t="n">
        <x:v>17.385383567862007</x:v>
      </x:c>
      <x:c r="M43" s="133" t="n">
        <x:v>14.5</x:v>
      </x:c>
      <x:c r="N43" s="133" t="n">
        <x:v>19.41135248773651</x:v>
      </x:c>
      <x:c r="O43" s="135" t="n">
        <x:v>39</x:v>
      </x:c>
      <x:c r="P43" s="135" t="n">
        <x:v>14</x:v>
      </x:c>
    </x:row>
    <x:row r="44">
      <x:c r="A44" s="132" t="str">
        <x:v>Washington County</x:v>
      </x:c>
      <x:c r="B44" s="134" t="n">
        <x:v>5</x:v>
      </x:c>
      <x:c r="C44" s="134" t="n">
        <x:v>15388</x:v>
      </x:c>
      <x:c r="D44" s="134" t="n">
        <x:v>9641</x:v>
      </x:c>
      <x:c r="E44" s="134" t="n">
        <x:v>1563</x:v>
      </x:c>
      <x:c r="F44" s="133" t="n">
        <x:v>10.157265401611646</x:v>
      </x:c>
      <x:c r="G44" s="134" t="n">
        <x:v>839</x:v>
      </x:c>
      <x:c r="H44" s="133" t="n">
        <x:v>8.702416761746706</x:v>
      </x:c>
      <x:c r="I44" s="134" t="n">
        <x:v>0</x:v>
      </x:c>
      <x:c r="J44" s="133" t="n">
        <x:v>0</x:v>
      </x:c>
      <x:c r="K44" s="133" t="n">
        <x:v>10.099788327789538</x:v>
      </x:c>
      <x:c r="L44" s="133" t="n">
        <x:v>10.328927144174608</x:v>
      </x:c>
      <x:c r="M44" s="133" t="n">
        <x:v>5.592105263157895</x:v>
      </x:c>
      <x:c r="N44" s="133" t="n">
        <x:v>9.500609013398295</x:v>
      </x:c>
      <x:c r="O44" s="135" t="n">
        <x:v>40</x:v>
      </x:c>
      <x:c r="P44" s="135" t="n">
        <x:v>33</x:v>
      </x:c>
    </x:row>
    <x:row r="45">
      <x:c r="A45" s="132" t="str">
        <x:v>Conecuh County</x:v>
      </x:c>
      <x:c r="B45" s="134" t="n">
        <x:v>5</x:v>
      </x:c>
      <x:c r="C45" s="134" t="n">
        <x:v>11597</x:v>
      </x:c>
      <x:c r="D45" s="134" t="n">
        <x:v>5377</x:v>
      </x:c>
      <x:c r="E45" s="134" t="n">
        <x:v>1435</x:v>
      </x:c>
      <x:c r="F45" s="133" t="n">
        <x:v>12.37388979908597</x:v>
      </x:c>
      <x:c r="G45" s="134" t="n">
        <x:v>700</x:v>
      </x:c>
      <x:c r="H45" s="133" t="n">
        <x:v>13.01841175376604</x:v>
      </x:c>
      <x:c r="I45" s="134" t="n">
        <x:v>1</x:v>
      </x:c>
      <x:c r="J45" s="133" t="n">
        <x:v>20</x:v>
      </x:c>
      <x:c r="K45" s="133" t="n">
        <x:v>13.10344827586207</x:v>
      </x:c>
      <x:c r="L45" s="133" t="n">
        <x:v>12.439297721329847</x:v>
      </x:c>
      <x:c r="M45" s="133" t="n">
        <x:v>12.992125984251969</x:v>
      </x:c>
      <x:c r="N45" s="133" t="n">
        <x:v>12.698412698412698</x:v>
      </x:c>
      <x:c r="O45" s="135" t="n">
        <x:v>41</x:v>
      </x:c>
      <x:c r="P45" s="135" t="n">
        <x:v>27</x:v>
      </x:c>
    </x:row>
    <x:row r="46">
      <x:c r="A46" s="132" t="str">
        <x:v>Sumter County</x:v>
      </x:c>
      <x:c r="B46" s="134" t="n">
        <x:v>5</x:v>
      </x:c>
      <x:c r="C46" s="134" t="n">
        <x:v>12345</x:v>
      </x:c>
      <x:c r="D46" s="134" t="n">
        <x:v>4358</x:v>
      </x:c>
      <x:c r="E46" s="134" t="n">
        <x:v>1780</x:v>
      </x:c>
      <x:c r="F46" s="133" t="n">
        <x:v>14.418793033616849</x:v>
      </x:c>
      <x:c r="G46" s="134" t="n">
        <x:v>688</x:v>
      </x:c>
      <x:c r="H46" s="133" t="n">
        <x:v>15.787058283616338</x:v>
      </x:c>
      <x:c r="I46" s="134" t="n">
        <x:v>1</x:v>
      </x:c>
      <x:c r="J46" s="133" t="n">
        <x:v>20</x:v>
      </x:c>
      <x:c r="K46" s="133" t="n">
        <x:v>15.096668037844509</x:v>
      </x:c>
      <x:c r="L46" s="133" t="n">
        <x:v>14.802065404475043</x:v>
      </x:c>
      <x:c r="M46" s="133" t="n">
        <x:v>12.008733624454148</x:v>
      </x:c>
      <x:c r="N46" s="133" t="n">
        <x:v>14.547926580557444</x:v>
      </x:c>
      <x:c r="O46" s="135" t="n">
        <x:v>42</x:v>
      </x:c>
      <x:c r="P46" s="135" t="n">
        <x:v>17</x:v>
      </x:c>
    </x:row>
    <x:row r="47">
      <x:c r="A47" s="132" t="str">
        <x:v>Covington County</x:v>
      </x:c>
      <x:c r="B47" s="134" t="n">
        <x:v>14</x:v>
      </x:c>
      <x:c r="C47" s="134" t="n">
        <x:v>37570</x:v>
      </x:c>
      <x:c r="D47" s="134" t="n">
        <x:v>20965</x:v>
      </x:c>
      <x:c r="E47" s="134" t="n">
        <x:v>1282</x:v>
      </x:c>
      <x:c r="F47" s="133" t="n">
        <x:v>3.4122970455150385</x:v>
      </x:c>
      <x:c r="G47" s="134" t="n">
        <x:v>631</x:v>
      </x:c>
      <x:c r="H47" s="133" t="n">
        <x:v>3.009778201764846</x:v>
      </x:c>
      <x:c r="I47" s="134" t="n">
        <x:v>1</x:v>
      </x:c>
      <x:c r="J47" s="133" t="n">
        <x:v>7.142857142857143</x:v>
      </x:c>
      <x:c r="K47" s="133" t="n">
        <x:v>3.5194916289869242</x:v>
      </x:c>
      <x:c r="L47" s="133" t="n">
        <x:v>3.2950939711984377</x:v>
      </x:c>
      <x:c r="M47" s="133" t="n">
        <x:v>2.5136612021857925</x:v>
      </x:c>
      <x:c r="N47" s="133" t="n">
        <x:v>3.314121037463977</x:v>
      </x:c>
      <x:c r="O47" s="135" t="n">
        <x:v>43</x:v>
      </x:c>
      <x:c r="P47" s="135" t="n">
        <x:v>54</x:v>
      </x:c>
    </x:row>
    <x:row r="48">
      <x:c r="A48" s="132" t="str">
        <x:v>Butler County</x:v>
      </x:c>
      <x:c r="B48" s="134" t="n">
        <x:v>9</x:v>
      </x:c>
      <x:c r="C48" s="134" t="n">
        <x:v>19051</x:v>
      </x:c>
      <x:c r="D48" s="134" t="n">
        <x:v>10225</x:v>
      </x:c>
      <x:c r="E48" s="134" t="n">
        <x:v>1199</x:v>
      </x:c>
      <x:c r="F48" s="133" t="n">
        <x:v>6.293632880163771</x:v>
      </x:c>
      <x:c r="G48" s="134" t="n">
        <x:v>621</x:v>
      </x:c>
      <x:c r="H48" s="133" t="n">
        <x:v>6.0733496332518335</x:v>
      </x:c>
      <x:c r="I48" s="134" t="n">
        <x:v>1</x:v>
      </x:c>
      <x:c r="J48" s="133" t="n">
        <x:v>11.11111111111111</x:v>
      </x:c>
      <x:c r="K48" s="133" t="n">
        <x:v>6.726133076181292</x:v>
      </x:c>
      <x:c r="L48" s="133" t="n">
        <x:v>5.620723362658847</x:v>
      </x:c>
      <x:c r="M48" s="133" t="n">
        <x:v>8.869179600886918</x:v>
      </x:c>
      <x:c r="N48" s="133" t="n">
        <x:v>7.850609756097561</x:v>
      </x:c>
      <x:c r="O48" s="135" t="n">
        <x:v>44</x:v>
      </x:c>
      <x:c r="P48" s="135" t="n">
        <x:v>46</x:v>
      </x:c>
    </x:row>
    <x:row r="49">
      <x:c r="A49" s="132" t="str">
        <x:v>Choctaw County</x:v>
      </x:c>
      <x:c r="B49" s="134" t="n">
        <x:v>4</x:v>
      </x:c>
      <x:c r="C49" s="134" t="n">
        <x:v>12665</x:v>
      </x:c>
      <x:c r="D49" s="134" t="n">
        <x:v>7128</x:v>
      </x:c>
      <x:c r="E49" s="134" t="n">
        <x:v>1136</x:v>
      </x:c>
      <x:c r="F49" s="133" t="n">
        <x:v>8.969601263324122</x:v>
      </x:c>
      <x:c r="G49" s="134" t="n">
        <x:v>610</x:v>
      </x:c>
      <x:c r="H49" s="133" t="n">
        <x:v>8.557800224466892</x:v>
      </x:c>
      <x:c r="I49" s="134" t="n">
        <x:v>1</x:v>
      </x:c>
      <x:c r="J49" s="133" t="n">
        <x:v>25</x:v>
      </x:c>
      <x:c r="K49" s="133" t="n">
        <x:v>9.090909090909092</x:v>
      </x:c>
      <x:c r="L49" s="133" t="n">
        <x:v>8.99379738111647</x:v>
      </x:c>
      <x:c r="M49" s="133" t="n">
        <x:v>8.478260869565217</x:v>
      </x:c>
      <x:c r="N49" s="133" t="n">
        <x:v>8.383961117861482</x:v>
      </x:c>
      <x:c r="O49" s="135" t="n">
        <x:v>45</x:v>
      </x:c>
      <x:c r="P49" s="135" t="n">
        <x:v>34</x:v>
      </x:c>
    </x:row>
    <x:row r="50">
      <x:c r="A50" s="132" t="str">
        <x:v>Hale County</x:v>
      </x:c>
      <x:c r="B50" s="134" t="n">
        <x:v>7</x:v>
      </x:c>
      <x:c r="C50" s="134" t="n">
        <x:v>14785</x:v>
      </x:c>
      <x:c r="D50" s="134" t="n">
        <x:v>8375</x:v>
      </x:c>
      <x:c r="E50" s="134" t="n">
        <x:v>1091</x:v>
      </x:c>
      <x:c r="F50" s="133" t="n">
        <x:v>7.379100439634765</x:v>
      </x:c>
      <x:c r="G50" s="134" t="n">
        <x:v>607</x:v>
      </x:c>
      <x:c r="H50" s="133" t="n">
        <x:v>7.2477611940298505</x:v>
      </x:c>
      <x:c r="I50" s="134" t="n">
        <x:v>0</x:v>
      </x:c>
      <x:c r="J50" s="133" t="n">
        <x:v>0</x:v>
      </x:c>
      <x:c r="K50" s="133" t="n">
        <x:v>7.238037552998183</x:v>
      </x:c>
      <x:c r="L50" s="133" t="n">
        <x:v>8.129215477458288</x:v>
      </x:c>
      <x:c r="M50" s="133" t="n">
        <x:v>6.022187004754358</x:v>
      </x:c>
      <x:c r="N50" s="133" t="n">
        <x:v>5.038265306122449</x:v>
      </x:c>
      <x:c r="O50" s="135" t="n">
        <x:v>46</x:v>
      </x:c>
      <x:c r="P50" s="135" t="n">
        <x:v>40</x:v>
      </x:c>
    </x:row>
    <x:row r="51">
      <x:c r="A51" s="132" t="str">
        <x:v>Pickens County</x:v>
      </x:c>
      <x:c r="B51" s="134" t="n">
        <x:v>6</x:v>
      </x:c>
      <x:c r="C51" s="134" t="n">
        <x:v>19123</x:v>
      </x:c>
      <x:c r="D51" s="134" t="n">
        <x:v>9448</x:v>
      </x:c>
      <x:c r="E51" s="134" t="n">
        <x:v>1112</x:v>
      </x:c>
      <x:c r="F51" s="133" t="n">
        <x:v>5.814987188202688</x:v>
      </x:c>
      <x:c r="G51" s="134" t="n">
        <x:v>593</x:v>
      </x:c>
      <x:c r="H51" s="133" t="n">
        <x:v>6.276460626587638</x:v>
      </x:c>
      <x:c r="I51" s="134" t="n">
        <x:v>0</x:v>
      </x:c>
      <x:c r="J51" s="133" t="n">
        <x:v>0</x:v>
      </x:c>
      <x:c r="K51" s="133" t="n">
        <x:v>6.447225244831339</x:v>
      </x:c>
      <x:c r="L51" s="133" t="n">
        <x:v>6.189352216102806</x:v>
      </x:c>
      <x:c r="M51" s="133" t="n">
        <x:v>7.484407484407485</x:v>
      </x:c>
      <x:c r="N51" s="133" t="n">
        <x:v>5.8260175578611335</x:v>
      </x:c>
      <x:c r="O51" s="135" t="n">
        <x:v>47</x:v>
      </x:c>
      <x:c r="P51" s="135" t="n">
        <x:v>45</x:v>
      </x:c>
    </x:row>
    <x:row r="52">
      <x:c r="A52" s="132" t="str">
        <x:v>Perry County</x:v>
      </x:c>
      <x:c r="B52" s="134" t="n">
        <x:v>4</x:v>
      </x:c>
      <x:c r="C52" s="134" t="n">
        <x:v>8511</x:v>
      </x:c>
      <x:c r="D52" s="134" t="n">
        <x:v>2711</x:v>
      </x:c>
      <x:c r="E52" s="134" t="n">
        <x:v>1058</x:v>
      </x:c>
      <x:c r="F52" s="133" t="n">
        <x:v>12.430971683703442</x:v>
      </x:c>
      <x:c r="G52" s="134" t="n">
        <x:v>454</x:v>
      </x:c>
      <x:c r="H52" s="133" t="n">
        <x:v>16.746587974917006</x:v>
      </x:c>
      <x:c r="I52" s="134" t="n">
        <x:v>2</x:v>
      </x:c>
      <x:c r="J52" s="133" t="n">
        <x:v>50</x:v>
      </x:c>
      <x:c r="K52" s="133" t="n">
        <x:v>10.446075663466967</x:v>
      </x:c>
      <x:c r="L52" s="133" t="n">
        <x:v>16.238317757009344</x:v>
      </x:c>
      <x:c r="M52" s="133" t="n">
        <x:v>5.109489051094891</x:v>
      </x:c>
      <x:c r="N52" s="133" t="n">
        <x:v>8.42745438748914</x:v>
      </x:c>
      <x:c r="O52" s="135" t="n">
        <x:v>48</x:v>
      </x:c>
      <x:c r="P52" s="135" t="n">
        <x:v>15</x:v>
      </x:c>
    </x:row>
    <x:row r="53">
      <x:c r="A53" s="132" t="str">
        <x:v>Coosa County</x:v>
      </x:c>
      <x:c r="B53" s="134" t="n">
        <x:v>3</x:v>
      </x:c>
      <x:c r="C53" s="134" t="n">
        <x:v>10387</x:v>
      </x:c>
      <x:c r="D53" s="134" t="n">
        <x:v>5876</x:v>
      </x:c>
      <x:c r="E53" s="134" t="n">
        <x:v>657</x:v>
      </x:c>
      <x:c r="F53" s="133" t="n">
        <x:v>6.32521421007028</x:v>
      </x:c>
      <x:c r="G53" s="134" t="n">
        <x:v>449</x:v>
      </x:c>
      <x:c r="H53" s="133" t="n">
        <x:v>7.641252552756978</x:v>
      </x:c>
      <x:c r="I53" s="134" t="n">
        <x:v>0</x:v>
      </x:c>
      <x:c r="J53" s="133" t="n">
        <x:v>0</x:v>
      </x:c>
      <x:c r="K53" s="133" t="n">
        <x:v>5.997757847533633</x:v>
      </x:c>
      <x:c r="L53" s="133" t="n">
        <x:v>6.791666666666667</x:v>
      </x:c>
      <x:c r="M53" s="133" t="n">
        <x:v>4.135338345864661</x:v>
      </x:c>
      <x:c r="N53" s="133" t="n">
        <x:v>6.424581005586592</x:v>
      </x:c>
      <x:c r="O53" s="135" t="n">
        <x:v>49</x:v>
      </x:c>
      <x:c r="P53" s="135" t="n">
        <x:v>38</x:v>
      </x:c>
    </x:row>
    <x:row r="54">
      <x:c r="A54" s="132" t="str">
        <x:v>Winston County</x:v>
      </x:c>
      <x:c r="B54" s="134" t="n">
        <x:v>8</x:v>
      </x:c>
      <x:c r="C54" s="134" t="n">
        <x:v>23540</x:v>
      </x:c>
      <x:c r="D54" s="134" t="n">
        <x:v>13166</x:v>
      </x:c>
      <x:c r="E54" s="134" t="n">
        <x:v>648</x:v>
      </x:c>
      <x:c r="F54" s="133" t="n">
        <x:v>2.7527612574341545</x:v>
      </x:c>
      <x:c r="G54" s="134" t="n">
        <x:v>399</x:v>
      </x:c>
      <x:c r="H54" s="133" t="n">
        <x:v>3.0305331915540026</x:v>
      </x:c>
      <x:c r="I54" s="134" t="n">
        <x:v>0</x:v>
      </x:c>
      <x:c r="J54" s="133" t="n">
        <x:v>0</x:v>
      </x:c>
      <x:c r="K54" s="133" t="n">
        <x:v>2.5136154168412235</x:v>
      </x:c>
      <x:c r="L54" s="133" t="n">
        <x:v>2.8782574873590043</x:v>
      </x:c>
      <x:c r="M54" s="133" t="n">
        <x:v>2.1459227467811157</x:v>
      </x:c>
      <x:c r="N54" s="133" t="n">
        <x:v>2.3238925199709515</x:v>
      </x:c>
      <x:c r="O54" s="135" t="n">
        <x:v>50</x:v>
      </x:c>
      <x:c r="P54" s="135" t="n">
        <x:v>53</x:v>
      </x:c>
    </x:row>
    <x:row r="55">
      <x:c r="A55" s="132" t="str">
        <x:v>Crenshaw County</x:v>
      </x:c>
      <x:c r="B55" s="134" t="n">
        <x:v>6</x:v>
      </x:c>
      <x:c r="C55" s="134" t="n">
        <x:v>13194</x:v>
      </x:c>
      <x:c r="D55" s="134" t="n">
        <x:v>7691</x:v>
      </x:c>
      <x:c r="E55" s="134" t="n">
        <x:v>608</x:v>
      </x:c>
      <x:c r="F55" s="133" t="n">
        <x:v>4.608155222070638</x:v>
      </x:c>
      <x:c r="G55" s="134" t="n">
        <x:v>344</x:v>
      </x:c>
      <x:c r="H55" s="133" t="n">
        <x:v>4.472760369262775</x:v>
      </x:c>
      <x:c r="I55" s="134" t="n">
        <x:v>0</x:v>
      </x:c>
      <x:c r="J55" s="133" t="n">
        <x:v>0</x:v>
      </x:c>
      <x:c r="K55" s="133" t="n">
        <x:v>4.763585038814397</x:v>
      </x:c>
      <x:c r="L55" s="133" t="n">
        <x:v>4.5993532159540065</x:v>
      </x:c>
      <x:c r="M55" s="133" t="n">
        <x:v>4.699738903394256</x:v>
      </x:c>
      <x:c r="N55" s="133" t="n">
        <x:v>5.887764489420423</x:v>
      </x:c>
      <x:c r="O55" s="135" t="n">
        <x:v>51</x:v>
      </x:c>
      <x:c r="P55" s="135" t="n">
        <x:v>51</x:v>
      </x:c>
    </x:row>
    <x:row r="56">
      <x:c r="A56" s="132" t="str">
        <x:v>Bullock County</x:v>
      </x:c>
      <x:c r="B56" s="134" t="n">
        <x:v>4</x:v>
      </x:c>
      <x:c r="C56" s="134" t="n">
        <x:v>10357</x:v>
      </x:c>
      <x:c r="D56" s="134" t="n">
        <x:v>2944</x:v>
      </x:c>
      <x:c r="E56" s="134" t="n">
        <x:v>712</x:v>
      </x:c>
      <x:c r="F56" s="133" t="n">
        <x:v>6.874577580380419</x:v>
      </x:c>
      <x:c r="G56" s="134" t="n">
        <x:v>311</x:v>
      </x:c>
      <x:c r="H56" s="133" t="n">
        <x:v>10.563858695652174</x:v>
      </x:c>
      <x:c r="I56" s="134" t="n">
        <x:v>1</x:v>
      </x:c>
      <x:c r="J56" s="133" t="n">
        <x:v>25</x:v>
      </x:c>
      <x:c r="K56" s="133" t="n">
        <x:v>6.5967016491754125</x:v>
      </x:c>
      <x:c r="L56" s="133" t="n">
        <x:v>9.364908503767492</x:v>
      </x:c>
      <x:c r="M56" s="133" t="n">
        <x:v>6.267029972752043</x:v>
      </x:c>
      <x:c r="N56" s="133" t="n">
        <x:v>5.657370517928287</x:v>
      </x:c>
      <x:c r="O56" s="135" t="n">
        <x:v>52</x:v>
      </x:c>
      <x:c r="P56" s="135" t="n">
        <x:v>31</x:v>
      </x:c>
    </x:row>
    <x:row r="57">
      <x:c r="A57" s="132" t="str">
        <x:v>Marion County</x:v>
      </x:c>
      <x:c r="B57" s="134" t="n">
        <x:v>11</x:v>
      </x:c>
      <x:c r="C57" s="134" t="n">
        <x:v>29341</x:v>
      </x:c>
      <x:c r="D57" s="134" t="n">
        <x:v>17282</x:v>
      </x:c>
      <x:c r="E57" s="134" t="n">
        <x:v>514</x:v>
      </x:c>
      <x:c r="F57" s="133" t="n">
        <x:v>1.751814866568965</x:v>
      </x:c>
      <x:c r="G57" s="134" t="n">
        <x:v>294</x:v>
      </x:c>
      <x:c r="H57" s="133" t="n">
        <x:v>1.701191991667631</x:v>
      </x:c>
      <x:c r="I57" s="134" t="n">
        <x:v>0</x:v>
      </x:c>
      <x:c r="J57" s="133" t="n">
        <x:v>0</x:v>
      </x:c>
      <x:c r="K57" s="133" t="n">
        <x:v>1.727826230047721</x:v>
      </x:c>
      <x:c r="L57" s="133" t="n">
        <x:v>1.7196200458565345</x:v>
      </x:c>
      <x:c r="M57" s="133" t="n">
        <x:v>2.48868778280543</x:v>
      </x:c>
      <x:c r="N57" s="133" t="n">
        <x:v>2.1727322107550244</x:v>
      </x:c>
      <x:c r="O57" s="135" t="n">
        <x:v>53</x:v>
      </x:c>
      <x:c r="P57" s="135" t="n">
        <x:v>59</x:v>
      </x:c>
    </x:row>
    <x:row r="58">
      <x:c r="A58" s="132" t="str">
        <x:v>Bibb County</x:v>
      </x:c>
      <x:c r="B58" s="134" t="n">
        <x:v>8</x:v>
      </x:c>
      <x:c r="C58" s="134" t="n">
        <x:v>22293</x:v>
      </x:c>
      <x:c r="D58" s="134" t="n">
        <x:v>11509</x:v>
      </x:c>
      <x:c r="E58" s="134" t="n">
        <x:v>567</x:v>
      </x:c>
      <x:c r="F58" s="133" t="n">
        <x:v>2.5433992733144932</x:v>
      </x:c>
      <x:c r="G58" s="134" t="n">
        <x:v>277</x:v>
      </x:c>
      <x:c r="H58" s="133" t="n">
        <x:v>2.4068120601268572</x:v>
      </x:c>
      <x:c r="I58" s="134" t="n">
        <x:v>0</x:v>
      </x:c>
      <x:c r="J58" s="133" t="n">
        <x:v>0</x:v>
      </x:c>
      <x:c r="K58" s="133" t="n">
        <x:v>2.100840336134454</x:v>
      </x:c>
      <x:c r="L58" s="133" t="n">
        <x:v>2.267699115044248</x:v>
      </x:c>
      <x:c r="M58" s="133" t="n">
        <x:v>2.8708133971291865</x:v>
      </x:c>
      <x:c r="N58" s="133" t="n">
        <x:v>1.6959798994974875</x:v>
      </x:c>
      <x:c r="O58" s="135" t="n">
        <x:v>54</x:v>
      </x:c>
      <x:c r="P58" s="135" t="n">
        <x:v>58</x:v>
      </x:c>
    </x:row>
    <x:row r="59">
      <x:c r="A59" s="132" t="str">
        <x:v>Henry County</x:v>
      </x:c>
      <x:c r="B59" s="134" t="n">
        <x:v>6</x:v>
      </x:c>
      <x:c r="C59" s="134" t="n">
        <x:v>17146</x:v>
      </x:c>
      <x:c r="D59" s="134" t="n">
        <x:v>10791</x:v>
      </x:c>
      <x:c r="E59" s="134" t="n">
        <x:v>416</x:v>
      </x:c>
      <x:c r="F59" s="133" t="n">
        <x:v>2.4262218593257905</x:v>
      </x:c>
      <x:c r="G59" s="134" t="n">
        <x:v>264</x:v>
      </x:c>
      <x:c r="H59" s="133" t="n">
        <x:v>2.4464831804281344</x:v>
      </x:c>
      <x:c r="I59" s="134" t="n">
        <x:v>0</x:v>
      </x:c>
      <x:c r="J59" s="133" t="n">
        <x:v>0</x:v>
      </x:c>
      <x:c r="K59" s="133" t="n">
        <x:v>2.3680456490727533</x:v>
      </x:c>
      <x:c r="L59" s="133" t="n">
        <x:v>2.482792527040315</x:v>
      </x:c>
      <x:c r="M59" s="133" t="n">
        <x:v>1.509433962264151</x:v>
      </x:c>
      <x:c r="N59" s="133" t="n">
        <x:v>1.9057171514543632</x:v>
      </x:c>
      <x:c r="O59" s="135" t="n">
        <x:v>55</x:v>
      </x:c>
      <x:c r="P59" s="135" t="n">
        <x:v>56</x:v>
      </x:c>
    </x:row>
    <x:row r="60">
      <x:c r="A60" s="132" t="str">
        <x:v>Clay County</x:v>
      </x:c>
      <x:c r="B60" s="134" t="n">
        <x:v>4</x:v>
      </x:c>
      <x:c r="C60" s="134" t="n">
        <x:v>14236</x:v>
      </x:c>
      <x:c r="D60" s="134" t="n">
        <x:v>8204</x:v>
      </x:c>
      <x:c r="E60" s="134" t="n">
        <x:v>394</x:v>
      </x:c>
      <x:c r="F60" s="133" t="n">
        <x:v>2.7676313571227875</x:v>
      </x:c>
      <x:c r="G60" s="134" t="n">
        <x:v>242</x:v>
      </x:c>
      <x:c r="H60" s="133" t="n">
        <x:v>2.9497805948317892</x:v>
      </x:c>
      <x:c r="I60" s="134" t="n">
        <x:v>0</x:v>
      </x:c>
      <x:c r="J60" s="133" t="n">
        <x:v>0</x:v>
      </x:c>
      <x:c r="K60" s="133" t="n">
        <x:v>2.7919645897173986</x:v>
      </x:c>
      <x:c r="L60" s="133" t="n">
        <x:v>2.633311389071758</x:v>
      </x:c>
      <x:c r="M60" s="133" t="n">
        <x:v>1.7699115044247788</x:v>
      </x:c>
      <x:c r="N60" s="133" t="n">
        <x:v>2.657004830917874</x:v>
      </x:c>
      <x:c r="O60" s="135" t="n">
        <x:v>56</x:v>
      </x:c>
      <x:c r="P60" s="135" t="n">
        <x:v>55</x:v>
      </x:c>
    </x:row>
    <x:row r="61">
      <x:c r="A61" s="132" t="str">
        <x:v>Cherokee County</x:v>
      </x:c>
      <x:c r="B61" s="134" t="n">
        <x:v>8</x:v>
      </x:c>
      <x:c r="C61" s="134" t="n">
        <x:v>24971</x:v>
      </x:c>
      <x:c r="D61" s="134" t="n">
        <x:v>15209</x:v>
      </x:c>
      <x:c r="E61" s="134" t="n">
        <x:v>334</x:v>
      </x:c>
      <x:c r="F61" s="133" t="n">
        <x:v>1.3375515598093788</x:v>
      </x:c>
      <x:c r="G61" s="134" t="n">
        <x:v>230</x:v>
      </x:c>
      <x:c r="H61" s="133" t="n">
        <x:v>1.5122624761654284</x:v>
      </x:c>
      <x:c r="I61" s="134" t="n">
        <x:v>0</x:v>
      </x:c>
      <x:c r="J61" s="133" t="n">
        <x:v>0</x:v>
      </x:c>
      <x:c r="K61" s="133" t="n">
        <x:v>1.499375260308205</x:v>
      </x:c>
      <x:c r="L61" s="133" t="n">
        <x:v>1.1574468085106382</x:v>
      </x:c>
      <x:c r="M61" s="133" t="n">
        <x:v>0.35335689045936397</x:v>
      </x:c>
      <x:c r="N61" s="133" t="n">
        <x:v>1.2488849241748439</x:v>
      </x:c>
      <x:c r="O61" s="135" t="n">
        <x:v>57</x:v>
      </x:c>
      <x:c r="P61" s="135" t="n">
        <x:v>60</x:v>
      </x:c>
    </x:row>
    <x:row r="62">
      <x:c r="A62" s="132" t="str">
        <x:v>Fayette County</x:v>
      </x:c>
      <x:c r="B62" s="134" t="n">
        <x:v>5</x:v>
      </x:c>
      <x:c r="C62" s="134" t="n">
        <x:v>16321</x:v>
      </x:c>
      <x:c r="D62" s="134" t="n">
        <x:v>9449</x:v>
      </x:c>
      <x:c r="E62" s="134" t="n">
        <x:v>366</x:v>
      </x:c>
      <x:c r="F62" s="133" t="n">
        <x:v>2.2425096501439863</x:v>
      </x:c>
      <x:c r="G62" s="134" t="n">
        <x:v>228</x:v>
      </x:c>
      <x:c r="H62" s="133" t="n">
        <x:v>2.412953751719759</x:v>
      </x:c>
      <x:c r="I62" s="134" t="n">
        <x:v>0</x:v>
      </x:c>
      <x:c r="J62" s="133" t="n">
        <x:v>0</x:v>
      </x:c>
      <x:c r="K62" s="133" t="n">
        <x:v>2.2946175637393766</x:v>
      </x:c>
      <x:c r="L62" s="133" t="n">
        <x:v>2.0815752461322083</x:v>
      </x:c>
      <x:c r="M62" s="133" t="n">
        <x:v>2.109704641350211</x:v>
      </x:c>
      <x:c r="N62" s="133" t="n">
        <x:v>2.224199288256228</x:v>
      </x:c>
      <x:c r="O62" s="135" t="n">
        <x:v>58</x:v>
      </x:c>
      <x:c r="P62" s="135" t="n">
        <x:v>57</x:v>
      </x:c>
    </x:row>
    <x:row r="63">
      <x:c r="A63" s="132" t="str">
        <x:v>Greene County</x:v>
      </x:c>
      <x:c r="B63" s="134" t="n">
        <x:v>4</x:v>
      </x:c>
      <x:c r="C63" s="134" t="n">
        <x:v>7730</x:v>
      </x:c>
      <x:c r="D63" s="134" t="n">
        <x:v>2676</x:v>
      </x:c>
      <x:c r="E63" s="134" t="n">
        <x:v>633</x:v>
      </x:c>
      <x:c r="F63" s="133" t="n">
        <x:v>8.188874514877103</x:v>
      </x:c>
      <x:c r="G63" s="134" t="n">
        <x:v>226</x:v>
      </x:c>
      <x:c r="H63" s="133" t="n">
        <x:v>8.44544095665172</x:v>
      </x:c>
      <x:c r="I63" s="134" t="n">
        <x:v>1</x:v>
      </x:c>
      <x:c r="J63" s="133" t="n">
        <x:v>25</x:v>
      </x:c>
      <x:c r="K63" s="133" t="n">
        <x:v>7.108433734939759</x:v>
      </x:c>
      <x:c r="L63" s="133" t="n">
        <x:v>8.32356389214537</x:v>
      </x:c>
      <x:c r="M63" s="133" t="n">
        <x:v>6.511627906976744</x:v>
      </x:c>
      <x:c r="N63" s="133" t="n">
        <x:v>7.968901846452867</x:v>
      </x:c>
      <x:c r="O63" s="135" t="n">
        <x:v>59</x:v>
      </x:c>
      <x:c r="P63" s="135" t="n">
        <x:v>36</x:v>
      </x:c>
    </x:row>
    <x:row r="64">
      <x:c r="A64" s="132" t="str">
        <x:v>Lowndes County</x:v>
      </x:c>
      <x:c r="B64" s="134" t="n">
        <x:v>4</x:v>
      </x:c>
      <x:c r="C64" s="134" t="n">
        <x:v>10311</x:v>
      </x:c>
      <x:c r="D64" s="134" t="n">
        <x:v>4372</x:v>
      </x:c>
      <x:c r="E64" s="134" t="n">
        <x:v>532</x:v>
      </x:c>
      <x:c r="F64" s="133" t="n">
        <x:v>5.159538357094365</x:v>
      </x:c>
      <x:c r="G64" s="134" t="n">
        <x:v>192</x:v>
      </x:c>
      <x:c r="H64" s="133" t="n">
        <x:v>4.391582799634035</x:v>
      </x:c>
      <x:c r="I64" s="134" t="n">
        <x:v>0</x:v>
      </x:c>
      <x:c r="J64" s="133" t="n">
        <x:v>0</x:v>
      </x:c>
      <x:c r="K64" s="133" t="n">
        <x:v>5.374753451676528</x:v>
      </x:c>
      <x:c r="L64" s="133" t="n">
        <x:v>4.981378026070764</x:v>
      </x:c>
      <x:c r="M64" s="133" t="n">
        <x:v>5.555555555555555</x:v>
      </x:c>
      <x:c r="N64" s="133" t="n">
        <x:v>7.841552142279709</x:v>
      </x:c>
      <x:c r="O64" s="135" t="n">
        <x:v>60</x:v>
      </x:c>
      <x:c r="P64" s="135" t="n">
        <x:v>52</x:v>
      </x:c>
    </x:row>
    <x:row r="65">
      <x:c r="A65" s="132" t="str">
        <x:v>Lawrence County</x:v>
      </x:c>
      <x:c r="B65" s="134" t="n">
        <x:v>11</x:v>
      </x:c>
      <x:c r="C65" s="134" t="n">
        <x:v>33073</x:v>
      </x:c>
      <x:c r="D65" s="134" t="n">
        <x:v>21355</x:v>
      </x:c>
      <x:c r="E65" s="134" t="n">
        <x:v>189</x:v>
      </x:c>
      <x:c r="F65" s="133" t="n">
        <x:v>0.5714631270220422</x:v>
      </x:c>
      <x:c r="G65" s="134" t="n">
        <x:v>139</x:v>
      </x:c>
      <x:c r="H65" s="133" t="n">
        <x:v>0.6509014282369469</x:v>
      </x:c>
      <x:c r="I65" s="134" t="n">
        <x:v>0</x:v>
      </x:c>
      <x:c r="J65" s="133" t="n">
        <x:v>0</x:v>
      </x:c>
      <x:c r="K65" s="133" t="n">
        <x:v>0.5837387074357192</x:v>
      </x:c>
      <x:c r="L65" s="133" t="n">
        <x:v>0.5411427661944931</x:v>
      </x:c>
      <x:c r="M65" s="133" t="n">
        <x:v>0.3367003367003367</x:v>
      </x:c>
      <x:c r="N65" s="133" t="n">
        <x:v>0.5342399222923749</x:v>
      </x:c>
      <x:c r="O65" s="135" t="n">
        <x:v>61</x:v>
      </x:c>
      <x:c r="P65" s="135" t="n">
        <x:v>62</x:v>
      </x:c>
    </x:row>
    <x:row r="66">
      <x:c r="A66" s="132" t="str">
        <x:v>Blount County</x:v>
      </x:c>
      <x:c r="B66" s="134" t="n">
        <x:v>16</x:v>
      </x:c>
      <x:c r="C66" s="134" t="n">
        <x:v>59134</x:v>
      </x:c>
      <x:c r="D66" s="134" t="n">
        <x:v>39816</x:v>
      </x:c>
      <x:c r="E66" s="134" t="n">
        <x:v>178</x:v>
      </x:c>
      <x:c r="F66" s="133" t="n">
        <x:v>0.30101126255622823</x:v>
      </x:c>
      <x:c r="G66" s="134" t="n">
        <x:v>115</x:v>
      </x:c>
      <x:c r="H66" s="133" t="n">
        <x:v>0.2888286116134217</x:v>
      </x:c>
      <x:c r="I66" s="134" t="n">
        <x:v>0</x:v>
      </x:c>
      <x:c r="J66" s="133" t="n">
        <x:v>0</x:v>
      </x:c>
      <x:c r="K66" s="133" t="n">
        <x:v>0.305877212147695</x:v>
      </x:c>
      <x:c r="L66" s="133" t="n">
        <x:v>0.2905393136008716</x:v>
      </x:c>
      <x:c r="M66" s="133" t="n">
        <x:v>0.33444816053511706</x:v>
      </x:c>
      <x:c r="N66" s="133" t="n">
        <x:v>0.4027828634199927</x:v>
      </x:c>
      <x:c r="O66" s="135" t="n">
        <x:v>62</x:v>
      </x:c>
      <x:c r="P66" s="135" t="n">
        <x:v>65</x:v>
      </x:c>
    </x:row>
    <x:row r="67">
      <x:c r="A67" s="132" t="str">
        <x:v>DeKalb County</x:v>
      </x:c>
      <x:c r="B67" s="134" t="n">
        <x:v>21</x:v>
      </x:c>
      <x:c r="C67" s="134" t="n">
        <x:v>71608</x:v>
      </x:c>
      <x:c r="D67" s="134" t="n">
        <x:v>37066</x:v>
      </x:c>
      <x:c r="E67" s="134" t="n">
        <x:v>229</x:v>
      </x:c>
      <x:c r="F67" s="133" t="n">
        <x:v>0.31979667076304324</x:v>
      </x:c>
      <x:c r="G67" s="134" t="n">
        <x:v>109</x:v>
      </x:c>
      <x:c r="H67" s="133" t="n">
        <x:v>0.29407003723088543</x:v>
      </x:c>
      <x:c r="I67" s="134" t="n">
        <x:v>0</x:v>
      </x:c>
      <x:c r="J67" s="133" t="n">
        <x:v>0</x:v>
      </x:c>
      <x:c r="K67" s="133" t="n">
        <x:v>0.29963817277250115</x:v>
      </x:c>
      <x:c r="L67" s="133" t="n">
        <x:v>0.357540123947243</x:v>
      </x:c>
      <x:c r="M67" s="133" t="n">
        <x:v>0.36663611365719523</x:v>
      </x:c>
      <x:c r="N67" s="133" t="n">
        <x:v>0.3241841365895829</x:v>
      </x:c>
      <x:c r="O67" s="135" t="n">
        <x:v>63</x:v>
      </x:c>
      <x:c r="P67" s="135" t="n">
        <x:v>64</x:v>
      </x:c>
    </x:row>
    <x:row r="68">
      <x:c r="A68" s="132" t="str">
        <x:v>Lamar County</x:v>
      </x:c>
      <x:c r="B68" s="134" t="n">
        <x:v>4</x:v>
      </x:c>
      <x:c r="C68" s="134" t="n">
        <x:v>13972</x:v>
      </x:c>
      <x:c r="D68" s="134" t="n">
        <x:v>7551</x:v>
      </x:c>
      <x:c r="E68" s="134" t="n">
        <x:v>134</x:v>
      </x:c>
      <x:c r="F68" s="133" t="n">
        <x:v>0.9590609791010593</x:v>
      </x:c>
      <x:c r="G68" s="134" t="n">
        <x:v>74</x:v>
      </x:c>
      <x:c r="H68" s="133" t="n">
        <x:v>0.9800026486558072</x:v>
      </x:c>
      <x:c r="I68" s="134" t="n">
        <x:v>0</x:v>
      </x:c>
      <x:c r="J68" s="133" t="n">
        <x:v>0</x:v>
      </x:c>
      <x:c r="K68" s="133" t="n">
        <x:v>1.015916017609211</x:v>
      </x:c>
      <x:c r="L68" s="133" t="n">
        <x:v>0.9020618556701031</x:v>
      </x:c>
      <x:c r="M68" s="133" t="n">
        <x:v>0.9646302250803859</x:v>
      </x:c>
      <x:c r="N68" s="133" t="n">
        <x:v>1.053639846743295</x:v>
      </x:c>
      <x:c r="O68" s="135" t="n">
        <x:v>64</x:v>
      </x:c>
      <x:c r="P68" s="135" t="n">
        <x:v>61</x:v>
      </x:c>
    </x:row>
    <x:row r="69">
      <x:c r="A69" s="132" t="str">
        <x:v>Cleburne County</x:v>
      </x:c>
      <x:c r="B69" s="134" t="n">
        <x:v>4</x:v>
      </x:c>
      <x:c r="C69" s="134" t="n">
        <x:v>15056</x:v>
      </x:c>
      <x:c r="D69" s="134" t="n">
        <x:v>9594</x:v>
      </x:c>
      <x:c r="E69" s="134" t="n">
        <x:v>84</x:v>
      </x:c>
      <x:c r="F69" s="133" t="n">
        <x:v>0.5579171094580234</x:v>
      </x:c>
      <x:c r="G69" s="134" t="n">
        <x:v>52</x:v>
      </x:c>
      <x:c r="H69" s="133" t="n">
        <x:v>0.5420054200542005</x:v>
      </x:c>
      <x:c r="I69" s="134" t="n">
        <x:v>0</x:v>
      </x:c>
      <x:c r="J69" s="133" t="n">
        <x:v>0</x:v>
      </x:c>
      <x:c r="K69" s="133" t="n">
        <x:v>0.5529685681024447</x:v>
      </x:c>
      <x:c r="L69" s="133" t="n">
        <x:v>0.5427408412483039</x:v>
      </x:c>
      <x:c r="M69" s="133" t="n">
        <x:v>0.29673590504451036</x:v>
      </x:c>
      <x:c r="N69" s="133" t="n">
        <x:v>0.461361014994233</x:v>
      </x:c>
      <x:c r="O69" s="135" t="n">
        <x:v>65</x:v>
      </x:c>
      <x:c r="P69" s="135" t="n">
        <x:v>63</x:v>
      </x:c>
    </x:row>
    <x:row r="70">
      <x:c r="A70" s="132" t="str">
        <x:v>Geneva County</x:v>
      </x:c>
      <x:c r="B70" s="134" t="n">
        <x:v>6</x:v>
      </x:c>
      <x:c r="C70" s="134" t="n">
        <x:v>26659</x:v>
      </x:c>
      <x:c r="D70" s="134" t="n">
        <x:v>14814</x:v>
      </x:c>
      <x:c r="E70" s="134" t="n">
        <x:v>68</x:v>
      </x:c>
      <x:c r="F70" s="133" t="n">
        <x:v>0.2550733335834052</x:v>
      </x:c>
      <x:c r="G70" s="134" t="n">
        <x:v>32</x:v>
      </x:c>
      <x:c r="H70" s="133" t="n">
        <x:v>0.21601188065343593</x:v>
      </x:c>
      <x:c r="I70" s="134" t="n">
        <x:v>0</x:v>
      </x:c>
      <x:c r="J70" s="133" t="n">
        <x:v>0</x:v>
      </x:c>
      <x:c r="K70" s="133" t="n">
        <x:v>0.25689330364788493</x:v>
      </x:c>
      <x:c r="L70" s="133" t="n">
        <x:v>0.2846975088967972</x:v>
      </x:c>
      <x:c r="M70" s="133" t="n">
        <x:v>0.15698587127158556</x:v>
      </x:c>
      <x:c r="N70" s="133" t="n">
        <x:v>0.20565552699228792</x:v>
      </x:c>
      <x:c r="O70" s="135" t="n">
        <x:v>66</x:v>
      </x:c>
      <x:c r="P70" s="135" t="n">
        <x:v>67</x:v>
      </x:c>
    </x:row>
    <x:row r="71">
      <x:c r="A71" s="132" t="str">
        <x:v>Randolph County</x:v>
      </x:c>
      <x:c r="B71" s="134" t="n">
        <x:v>6</x:v>
      </x:c>
      <x:c r="C71" s="134" t="n">
        <x:v>21967</x:v>
      </x:c>
      <x:c r="D71" s="134" t="n">
        <x:v>13031</x:v>
      </x:c>
      <x:c r="E71" s="134" t="n">
        <x:v>59</x:v>
      </x:c>
      <x:c r="F71" s="133" t="n">
        <x:v>0.26858469522465517</x:v>
      </x:c>
      <x:c r="G71" s="134" t="n">
        <x:v>31</x:v>
      </x:c>
      <x:c r="H71" s="133" t="n">
        <x:v>0.2378942521679073</x:v>
      </x:c>
      <x:c r="I71" s="134" t="n">
        <x:v>0</x:v>
      </x:c>
      <x:c r="J71" s="133" t="n">
        <x:v>0</x:v>
      </x:c>
      <x:c r="K71" s="133" t="n">
        <x:v>0.2764193068254306</x:v>
      </x:c>
      <x:c r="L71" s="133" t="n">
        <x:v>0.24059492563429571</x:v>
      </x:c>
      <x:c r="M71" s="133" t="n">
        <x:v>0</x:v>
      </x:c>
      <x:c r="N71" s="133" t="n">
        <x:v>0.22975301550832855</x:v>
      </x:c>
      <x:c r="O71" s="135" t="n">
        <x:v>67</x:v>
      </x:c>
      <x:c r="P71" s="135" t="n">
        <x:v>66</x:v>
      </x:c>
    </x:row>
  </x:sheetData>
  <x:mergeCells>
    <x:mergeCell ref="A1:P1"/>
    <x:mergeCell ref="A2:P2"/>
  </x:mergeCells>
  <x:pageMargins left="0.7" right="0.7" top="0.75" bottom="0.75" header="0.3" footer="0.3"/>
  <x:tableParts count="1">
    <x:tablePart xmlns:r="http://schemas.openxmlformats.org/officeDocument/2006/relationships" r:id="R689c6de3126948d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24" hidden="0" customWidth="1"/>
    <x:col min="3" max="3" width="9" hidden="0" customWidth="1"/>
    <x:col min="4" max="4" width="12" hidden="0" customWidth="1"/>
    <x:col min="5" max="5" width="13" hidden="0" customWidth="1"/>
    <x:col min="6" max="6" width="14" hidden="0" customWidth="1"/>
    <x:col min="7" max="7" width="17" hidden="0" customWidth="1"/>
    <x:col min="8" max="8" width="18" hidden="0" customWidth="1"/>
    <x:col min="9" max="9" width="22" hidden="0" customWidth="1"/>
    <x:col min="10" max="10" width="18" hidden="0" customWidth="1"/>
    <x:col min="11" max="11" width="22" hidden="0" customWidth="1"/>
    <x:col min="12" max="12" width="18" hidden="0" customWidth="1"/>
    <x:col min="13" max="13" width="18" hidden="0" customWidth="1"/>
    <x:col min="14" max="14" width="22" hidden="0" customWidth="1"/>
    <x:col min="15" max="15" width="20" hidden="0" customWidth="1"/>
    <x:col min="16" max="16" width="15" hidden="0" customWidth="1"/>
  </x:cols>
  <x:sheetData>
    <x:row r="1" ht="34" customHeight="1">
      <x:c r="A1" s="3" t="str">
        <x:v>Alabama tract retailer-access detail</x:v>
      </x:c>
      <x:c r="B1" s="3"/>
      <x:c r="C1" s="3"/>
      <x:c r="D1" s="3"/>
      <x:c r="E1" s="3"/>
      <x:c r="F1" s="3"/>
      <x:c r="G1" s="3"/>
      <x:c r="H1" s="3"/>
      <x:c r="I1" s="3"/>
      <x:c r="J1" s="3"/>
      <x:c r="K1" s="3"/>
      <x:c r="L1" s="3"/>
      <x:c r="M1" s="3"/>
      <x:c r="N1" s="3"/>
      <x:c r="O1" s="3"/>
      <x:c r="P1" s="3"/>
    </x:row>
    <x:row r="2" ht="30" customHeight="1">
      <x:c r="A2" s="7" t="str">
        <x:v>All 1,436 tracts; identifiers are stored as 11-character text and high-group-quarters flags remain available in processed data</x:v>
      </x:c>
      <x:c r="B2" s="7"/>
      <x:c r="C2" s="7"/>
      <x:c r="D2" s="7"/>
      <x:c r="E2" s="7"/>
      <x:c r="F2" s="7"/>
      <x:c r="G2" s="7"/>
      <x:c r="H2" s="7"/>
      <x:c r="I2" s="7"/>
      <x:c r="J2" s="7"/>
      <x:c r="K2" s="7"/>
      <x:c r="L2" s="7"/>
      <x:c r="M2" s="7"/>
      <x:c r="N2" s="7"/>
      <x:c r="O2" s="7"/>
      <x:c r="P2" s="7"/>
    </x:row>
    <x:row r="4" ht="34" customHeight="1">
      <x:c r="A4" s="16" t="str">
        <x:v>GEOID20</x:v>
      </x:c>
      <x:c r="B4" s="131" t="str">
        <x:v>County24</x:v>
      </x:c>
      <x:c r="C4" s="131" t="str">
        <x:v>Urban</x:v>
      </x:c>
      <x:c r="D4" s="131" t="str">
        <x:v>POP2020</x:v>
      </x:c>
      <x:c r="E4" s="131" t="str">
        <x:v>PovertyRate</x:v>
      </x:c>
      <x:c r="F4" s="131" t="str">
        <x:v>TractLOWI</x:v>
      </x:c>
      <x:c r="G4" s="131" t="str">
        <x:v>DD_SRAM_LILATracts_1And10</x:v>
      </x:c>
      <x:c r="H4" s="131" t="str">
        <x:v>DD_SRAM_LAPOP1_10</x:v>
      </x:c>
      <x:c r="I4" s="131" t="str">
        <x:v>DD_SRAM_LALOWI1_10</x:v>
      </x:c>
      <x:c r="J4" s="131" t="str">
        <x:v>low_access_population_pct</x:v>
      </x:c>
      <x:c r="K4" s="131" t="str">
        <x:v>low_income_low_access_population_pct</x:v>
      </x:c>
      <x:c r="L4" s="131" t="str">
        <x:v>low_access_children_pct</x:v>
      </x:c>
      <x:c r="M4" s="131" t="str">
        <x:v>low_access_seniors_pct</x:v>
      </x:c>
      <x:c r="N4" s="131" t="str">
        <x:v>low_access_no_vehicle_housing_units_pct</x:v>
      </x:c>
      <x:c r="O4" s="131" t="str">
        <x:v>low_access_snap_housing_units_pct</x:v>
      </x:c>
      <x:c r="P4" s="17" t="str">
        <x:v>priority_rank_by_affected_low_income_count</x:v>
      </x:c>
    </x:row>
    <x:row r="5">
      <x:c r="A5" s="136" t="str">
        <x:v>01073011110</x:v>
      </x:c>
      <x:c r="B5" s="132" t="str">
        <x:v>Jefferson County</x:v>
      </x:c>
      <x:c r="C5" s="132" t="n">
        <x:v>1</x:v>
      </x:c>
      <x:c r="D5" s="134" t="n">
        <x:v>5813</x:v>
      </x:c>
      <x:c r="E5" s="133" t="n">
        <x:v>21.6</x:v>
      </x:c>
      <x:c r="F5" s="134" t="n">
        <x:v>4312</x:v>
      </x:c>
      <x:c r="G5" s="134" t="n">
        <x:v>1</x:v>
      </x:c>
      <x:c r="H5" s="134" t="n">
        <x:v>4568</x:v>
      </x:c>
      <x:c r="I5" s="134" t="n">
        <x:v>3388</x:v>
      </x:c>
      <x:c r="J5" s="133" t="n">
        <x:v>78.58248752795458</x:v>
      </x:c>
      <x:c r="K5" s="133" t="n">
        <x:v>78.57142857142857</x:v>
      </x:c>
      <x:c r="L5" s="133" t="n">
        <x:v>78.56104651162791</x:v>
      </x:c>
      <x:c r="M5" s="133" t="n">
        <x:v>78.58823529411765</x:v>
      </x:c>
      <x:c r="N5" s="133" t="n">
        <x:v>79.16666666666667</x:v>
      </x:c>
      <x:c r="O5" s="133" t="n">
        <x:v>78.75647668393782</x:v>
      </x:c>
      <x:c r="P5" s="132" t="n">
        <x:v>1</x:v>
      </x:c>
    </x:row>
    <x:row r="6">
      <x:c r="A6" s="136" t="str">
        <x:v>01081040602</x:v>
      </x:c>
      <x:c r="B6" s="132" t="str">
        <x:v>Lee County</x:v>
      </x:c>
      <x:c r="C6" s="132" t="n">
        <x:v>1</x:v>
      </x:c>
      <x:c r="D6" s="134" t="n">
        <x:v>8254</x:v>
      </x:c>
      <x:c r="E6" s="133" t="n">
        <x:v>23.5</x:v>
      </x:c>
      <x:c r="F6" s="134" t="n">
        <x:v>6622</x:v>
      </x:c>
      <x:c r="G6" s="134" t="n">
        <x:v>1</x:v>
      </x:c>
      <x:c r="H6" s="134" t="n">
        <x:v>3982</x:v>
      </x:c>
      <x:c r="I6" s="134" t="n">
        <x:v>3194</x:v>
      </x:c>
      <x:c r="J6" s="133" t="n">
        <x:v>48.24327598740005</x:v>
      </x:c>
      <x:c r="K6" s="133" t="n">
        <x:v>48.23316218665056</x:v>
      </x:c>
      <x:c r="L6" s="133" t="n">
        <x:v>48.22213343987215</x:v>
      </x:c>
      <x:c r="M6" s="133" t="n">
        <x:v>48.28660436137071</x:v>
      </x:c>
      <x:c r="N6" s="133" t="n">
        <x:v>48.175182481751825</x:v>
      </x:c>
      <x:c r="O6" s="133" t="n">
        <x:v>48.21002386634845</x:v>
      </x:c>
      <x:c r="P6" s="132" t="n">
        <x:v>2</x:v>
      </x:c>
    </x:row>
    <x:row r="7">
      <x:c r="A7" s="136" t="str">
        <x:v>01003011000</x:v>
      </x:c>
      <x:c r="B7" s="132" t="str">
        <x:v>Baldwin County</x:v>
      </x:c>
      <x:c r="C7" s="132" t="n">
        <x:v>1</x:v>
      </x:c>
      <x:c r="D7" s="134" t="n">
        <x:v>5459</x:v>
      </x:c>
      <x:c r="E7" s="133" t="n">
        <x:v>16.7</x:v>
      </x:c>
      <x:c r="F7" s="134" t="n">
        <x:v>3749</x:v>
      </x:c>
      <x:c r="G7" s="134" t="n">
        <x:v>1</x:v>
      </x:c>
      <x:c r="H7" s="134" t="n">
        <x:v>4372</x:v>
      </x:c>
      <x:c r="I7" s="134" t="n">
        <x:v>3003</x:v>
      </x:c>
      <x:c r="J7" s="133" t="n">
        <x:v>80.08792819197656</x:v>
      </x:c>
      <x:c r="K7" s="133" t="n">
        <x:v>80.1013603627634</x:v>
      </x:c>
      <x:c r="L7" s="133" t="n">
        <x:v>80.06700167504188</x:v>
      </x:c>
      <x:c r="M7" s="133" t="n">
        <x:v>80.0734618916437</x:v>
      </x:c>
      <x:c r="N7" s="133" t="n">
        <x:v>83.33333333333333</x:v>
      </x:c>
      <x:c r="O7" s="133" t="n">
        <x:v>80</x:v>
      </x:c>
      <x:c r="P7" s="132" t="n">
        <x:v>3</x:v>
      </x:c>
    </x:row>
    <x:row r="8">
      <x:c r="A8" s="136" t="str">
        <x:v>01073012701</x:v>
      </x:c>
      <x:c r="B8" s="132" t="str">
        <x:v>Jefferson County</x:v>
      </x:c>
      <x:c r="C8" s="132" t="n">
        <x:v>1</x:v>
      </x:c>
      <x:c r="D8" s="134" t="n">
        <x:v>4081</x:v>
      </x:c>
      <x:c r="E8" s="133" t="n">
        <x:v>14.7</x:v>
      </x:c>
      <x:c r="F8" s="134" t="n">
        <x:v>3189</x:v>
      </x:c>
      <x:c r="G8" s="134" t="n">
        <x:v>1</x:v>
      </x:c>
      <x:c r="H8" s="134" t="n">
        <x:v>2857</x:v>
      </x:c>
      <x:c r="I8" s="134" t="n">
        <x:v>2232</x:v>
      </x:c>
      <x:c r="J8" s="133" t="n">
        <x:v>70.00735113942662</x:v>
      </x:c>
      <x:c r="K8" s="133" t="n">
        <x:v>69.99059266227657</x:v>
      </x:c>
      <x:c r="L8" s="133" t="n">
        <x:v>69.98784933171325</x:v>
      </x:c>
      <x:c r="M8" s="133" t="n">
        <x:v>70.04504504504504</x:v>
      </x:c>
      <x:c r="N8" s="133" t="n">
        <x:v>69.84126984126983</x:v>
      </x:c>
      <x:c r="O8" s="133" t="n">
        <x:v>70.28985507246377</x:v>
      </x:c>
      <x:c r="P8" s="132" t="n">
        <x:v>4</x:v>
      </x:c>
    </x:row>
    <x:row r="9">
      <x:c r="A9" s="136" t="str">
        <x:v>01073012905</x:v>
      </x:c>
      <x:c r="B9" s="132" t="str">
        <x:v>Jefferson County</x:v>
      </x:c>
      <x:c r="C9" s="132" t="n">
        <x:v>1</x:v>
      </x:c>
      <x:c r="D9" s="134" t="n">
        <x:v>4767</x:v>
      </x:c>
      <x:c r="E9" s="133" t="n">
        <x:v>27.6</x:v>
      </x:c>
      <x:c r="F9" s="134" t="n">
        <x:v>4217</x:v>
      </x:c>
      <x:c r="G9" s="134" t="n">
        <x:v>1</x:v>
      </x:c>
      <x:c r="H9" s="134" t="n">
        <x:v>2414</x:v>
      </x:c>
      <x:c r="I9" s="134" t="n">
        <x:v>2136</x:v>
      </x:c>
      <x:c r="J9" s="133" t="n">
        <x:v>50.63981539752465</x:v>
      </x:c>
      <x:c r="K9" s="133" t="n">
        <x:v>50.65212236186863</x:v>
      </x:c>
      <x:c r="L9" s="133" t="n">
        <x:v>50.653343581860106</x:v>
      </x:c>
      <x:c r="M9" s="133" t="n">
        <x:v>50.69033530571992</x:v>
      </x:c>
      <x:c r="N9" s="133" t="n">
        <x:v>50</x:v>
      </x:c>
      <x:c r="O9" s="133"/>
      <x:c r="P9" s="132" t="n">
        <x:v>5</x:v>
      </x:c>
    </x:row>
    <x:row r="10">
      <x:c r="A10" s="136" t="str">
        <x:v>01073011208</x:v>
      </x:c>
      <x:c r="B10" s="132" t="str">
        <x:v>Jefferson County</x:v>
      </x:c>
      <x:c r="C10" s="132" t="n">
        <x:v>1</x:v>
      </x:c>
      <x:c r="D10" s="134" t="n">
        <x:v>4559</x:v>
      </x:c>
      <x:c r="E10" s="133" t="n">
        <x:v>19.3</x:v>
      </x:c>
      <x:c r="F10" s="134" t="n">
        <x:v>2938</x:v>
      </x:c>
      <x:c r="G10" s="134" t="n">
        <x:v>1</x:v>
      </x:c>
      <x:c r="H10" s="134" t="n">
        <x:v>3112</x:v>
      </x:c>
      <x:c r="I10" s="134" t="n">
        <x:v>2005</x:v>
      </x:c>
      <x:c r="J10" s="133" t="n">
        <x:v>68.26058346128536</x:v>
      </x:c>
      <x:c r="K10" s="133" t="n">
        <x:v>68.24370319945541</x:v>
      </x:c>
      <x:c r="L10" s="133" t="n">
        <x:v>68.22742474916387</x:v>
      </x:c>
      <x:c r="M10" s="133" t="n">
        <x:v>68.24644549763033</x:v>
      </x:c>
      <x:c r="N10" s="133" t="n">
        <x:v>67.79661016949153</x:v>
      </x:c>
      <x:c r="O10" s="133" t="n">
        <x:v>68.18181818181819</x:v>
      </x:c>
      <x:c r="P10" s="132" t="n">
        <x:v>6</x:v>
      </x:c>
    </x:row>
    <x:row r="11">
      <x:c r="A11" s="136" t="str">
        <x:v>01089010626</x:v>
      </x:c>
      <x:c r="B11" s="132" t="str">
        <x:v>Madison County</x:v>
      </x:c>
      <x:c r="C11" s="132" t="n">
        <x:v>1</x:v>
      </x:c>
      <x:c r="D11" s="134" t="n">
        <x:v>3584</x:v>
      </x:c>
      <x:c r="E11" s="133" t="n">
        <x:v>12.4</x:v>
      </x:c>
      <x:c r="F11" s="134" t="n">
        <x:v>2642</x:v>
      </x:c>
      <x:c r="G11" s="134" t="n">
        <x:v>1</x:v>
      </x:c>
      <x:c r="H11" s="134" t="n">
        <x:v>2330</x:v>
      </x:c>
      <x:c r="I11" s="134" t="n">
        <x:v>1717</x:v>
      </x:c>
      <x:c r="J11" s="133" t="n">
        <x:v>65.01116071428571</x:v>
      </x:c>
      <x:c r="K11" s="133" t="n">
        <x:v>64.9886449659349</x:v>
      </x:c>
      <x:c r="L11" s="133" t="n">
        <x:v>65.02057613168725</x:v>
      </x:c>
      <x:c r="M11" s="133" t="n">
        <x:v>65.01766784452296</x:v>
      </x:c>
      <x:c r="N11" s="133" t="n">
        <x:v>65.33333333333333</x:v>
      </x:c>
      <x:c r="O11" s="133" t="n">
        <x:v>65.14522821576763</x:v>
      </x:c>
      <x:c r="P11" s="132" t="n">
        <x:v>7</x:v>
      </x:c>
    </x:row>
    <x:row r="12">
      <x:c r="A12" s="136" t="str">
        <x:v>01003011603</x:v>
      </x:c>
      <x:c r="B12" s="132" t="str">
        <x:v>Baldwin County</x:v>
      </x:c>
      <x:c r="C12" s="132" t="n">
        <x:v>1</x:v>
      </x:c>
      <x:c r="D12" s="134" t="n">
        <x:v>3298</x:v>
      </x:c>
      <x:c r="E12" s="133" t="n">
        <x:v>3.5</x:v>
      </x:c>
      <x:c r="F12" s="134" t="n">
        <x:v>2348</x:v>
      </x:c>
      <x:c r="G12" s="134" t="n">
        <x:v>1</x:v>
      </x:c>
      <x:c r="H12" s="134" t="n">
        <x:v>2293</x:v>
      </x:c>
      <x:c r="I12" s="134" t="n">
        <x:v>1632</x:v>
      </x:c>
      <x:c r="J12" s="133" t="n">
        <x:v>69.52698605215282</x:v>
      </x:c>
      <x:c r="K12" s="133" t="n">
        <x:v>69.50596252129472</x:v>
      </x:c>
      <x:c r="L12" s="133" t="n">
        <x:v>69.51754385964912</x:v>
      </x:c>
      <x:c r="M12" s="133" t="n">
        <x:v>69.48757763975155</x:v>
      </x:c>
      <x:c r="N12" s="133" t="n">
        <x:v>68.96551724137932</x:v>
      </x:c>
      <x:c r="O12" s="133" t="n">
        <x:v>70.45454545454545</x:v>
      </x:c>
      <x:c r="P12" s="132" t="n">
        <x:v>8</x:v>
      </x:c>
    </x:row>
    <x:row r="13">
      <x:c r="A13" s="136" t="str">
        <x:v>01045020802</x:v>
      </x:c>
      <x:c r="B13" s="132" t="str">
        <x:v>Dale County</x:v>
      </x:c>
      <x:c r="C13" s="132" t="n">
        <x:v>1</x:v>
      </x:c>
      <x:c r="D13" s="134" t="n">
        <x:v>4328</x:v>
      </x:c>
      <x:c r="E13" s="133" t="n">
        <x:v>20.6</x:v>
      </x:c>
      <x:c r="F13" s="134" t="n">
        <x:v>2262</x:v>
      </x:c>
      <x:c r="G13" s="134" t="n">
        <x:v>1</x:v>
      </x:c>
      <x:c r="H13" s="134" t="n">
        <x:v>3058</x:v>
      </x:c>
      <x:c r="I13" s="134" t="n">
        <x:v>1598</x:v>
      </x:c>
      <x:c r="J13" s="133" t="n">
        <x:v>70.6561922365989</x:v>
      </x:c>
      <x:c r="K13" s="133" t="n">
        <x:v>70.64544650751547</x:v>
      </x:c>
      <x:c r="L13" s="133" t="n">
        <x:v>70.60185185185185</x:v>
      </x:c>
      <x:c r="M13" s="133" t="n">
        <x:v>70.68273092369478</x:v>
      </x:c>
      <x:c r="N13" s="133" t="n">
        <x:v>70.75471698113208</x:v>
      </x:c>
      <x:c r="O13" s="133" t="n">
        <x:v>70.63106796116504</x:v>
      </x:c>
      <x:c r="P13" s="132" t="n">
        <x:v>9</x:v>
      </x:c>
    </x:row>
    <x:row r="14">
      <x:c r="A14" s="136" t="str">
        <x:v>01097003410</x:v>
      </x:c>
      <x:c r="B14" s="132" t="str">
        <x:v>Mobile County</x:v>
      </x:c>
      <x:c r="C14" s="132" t="n">
        <x:v>1</x:v>
      </x:c>
      <x:c r="D14" s="134" t="n">
        <x:v>4576</x:v>
      </x:c>
      <x:c r="E14" s="133" t="n">
        <x:v>15.8</x:v>
      </x:c>
      <x:c r="F14" s="134" t="n">
        <x:v>2548</x:v>
      </x:c>
      <x:c r="G14" s="134" t="n">
        <x:v>1</x:v>
      </x:c>
      <x:c r="H14" s="134" t="n">
        <x:v>2782</x:v>
      </x:c>
      <x:c r="I14" s="134" t="n">
        <x:v>1549</x:v>
      </x:c>
      <x:c r="J14" s="133" t="n">
        <x:v>60.79545454545455</x:v>
      </x:c>
      <x:c r="K14" s="133" t="n">
        <x:v>60.79277864992151</x:v>
      </x:c>
      <x:c r="L14" s="133" t="n">
        <x:v>60.8325449385052</x:v>
      </x:c>
      <x:c r="M14" s="133" t="n">
        <x:v>60.768175582990395</x:v>
      </x:c>
      <x:c r="N14" s="133" t="n">
        <x:v>60.60606060606061</x:v>
      </x:c>
      <x:c r="O14" s="133" t="n">
        <x:v>60.46511627906977</x:v>
      </x:c>
      <x:c r="P14" s="132" t="n">
        <x:v>10</x:v>
      </x:c>
    </x:row>
    <x:row r="15">
      <x:c r="A15" s="136" t="str">
        <x:v>01003010906</x:v>
      </x:c>
      <x:c r="B15" s="132" t="str">
        <x:v>Baldwin County</x:v>
      </x:c>
      <x:c r="C15" s="132" t="n">
        <x:v>1</x:v>
      </x:c>
      <x:c r="D15" s="134" t="n">
        <x:v>4754</x:v>
      </x:c>
      <x:c r="E15" s="133" t="n">
        <x:v>14</x:v>
      </x:c>
      <x:c r="F15" s="134" t="n">
        <x:v>3052</x:v>
      </x:c>
      <x:c r="G15" s="134" t="n">
        <x:v>1</x:v>
      </x:c>
      <x:c r="H15" s="134" t="n">
        <x:v>2396</x:v>
      </x:c>
      <x:c r="I15" s="134" t="n">
        <x:v>1538</x:v>
      </x:c>
      <x:c r="J15" s="133" t="n">
        <x:v>50.399663441312576</x:v>
      </x:c>
      <x:c r="K15" s="133" t="n">
        <x:v>50.39318479685452</x:v>
      </x:c>
      <x:c r="L15" s="133" t="n">
        <x:v>50.3985828166519</x:v>
      </x:c>
      <x:c r="M15" s="133" t="n">
        <x:v>50.38503850385038</x:v>
      </x:c>
      <x:c r="N15" s="133" t="n">
        <x:v>50</x:v>
      </x:c>
      <x:c r="O15" s="133" t="n">
        <x:v>50.36101083032491</x:v>
      </x:c>
      <x:c r="P15" s="132" t="n">
        <x:v>11</x:v>
      </x:c>
    </x:row>
    <x:row r="16">
      <x:c r="A16" s="136" t="str">
        <x:v>01073014304</x:v>
      </x:c>
      <x:c r="B16" s="132" t="str">
        <x:v>Jefferson County</x:v>
      </x:c>
      <x:c r="C16" s="132" t="n">
        <x:v>1</x:v>
      </x:c>
      <x:c r="D16" s="134" t="n">
        <x:v>4504</x:v>
      </x:c>
      <x:c r="E16" s="133" t="n">
        <x:v>34.7</x:v>
      </x:c>
      <x:c r="F16" s="134" t="n">
        <x:v>2684</x:v>
      </x:c>
      <x:c r="G16" s="134" t="n">
        <x:v>1</x:v>
      </x:c>
      <x:c r="H16" s="134" t="n">
        <x:v>2577</x:v>
      </x:c>
      <x:c r="I16" s="134" t="n">
        <x:v>1536</x:v>
      </x:c>
      <x:c r="J16" s="133" t="n">
        <x:v>57.215808170515096</x:v>
      </x:c>
      <x:c r="K16" s="133" t="n">
        <x:v>57.22801788375559</x:v>
      </x:c>
      <x:c r="L16" s="133" t="n">
        <x:v>57.22070844686648</x:v>
      </x:c>
      <x:c r="M16" s="133" t="n">
        <x:v>57.142857142857146</x:v>
      </x:c>
      <x:c r="N16" s="133" t="n">
        <x:v>57.142857142857146</x:v>
      </x:c>
      <x:c r="O16" s="133" t="n">
        <x:v>57.21153846153846</x:v>
      </x:c>
      <x:c r="P16" s="132" t="n">
        <x:v>12</x:v>
      </x:c>
    </x:row>
    <x:row r="17">
      <x:c r="A17" s="136" t="str">
        <x:v>01073005910</x:v>
      </x:c>
      <x:c r="B17" s="132" t="str">
        <x:v>Jefferson County</x:v>
      </x:c>
      <x:c r="C17" s="132" t="n">
        <x:v>1</x:v>
      </x:c>
      <x:c r="D17" s="134" t="n">
        <x:v>5109</x:v>
      </x:c>
      <x:c r="E17" s="133" t="n">
        <x:v>17.8</x:v>
      </x:c>
      <x:c r="F17" s="134" t="n">
        <x:v>3499</x:v>
      </x:c>
      <x:c r="G17" s="134" t="n">
        <x:v>1</x:v>
      </x:c>
      <x:c r="H17" s="134" t="n">
        <x:v>2233</x:v>
      </x:c>
      <x:c r="I17" s="134" t="n">
        <x:v>1529</x:v>
      </x:c>
      <x:c r="J17" s="133" t="n">
        <x:v>43.70718340183989</x:v>
      </x:c>
      <x:c r="K17" s="133" t="n">
        <x:v>43.69819948556731</x:v>
      </x:c>
      <x:c r="L17" s="133" t="n">
        <x:v>43.721770551038844</x:v>
      </x:c>
      <x:c r="M17" s="133" t="n">
        <x:v>43.73522458628842</x:v>
      </x:c>
      <x:c r="N17" s="133" t="n">
        <x:v>43.84384384384384</x:v>
      </x:c>
      <x:c r="O17" s="133" t="n">
        <x:v>43.63143631436314</x:v>
      </x:c>
      <x:c r="P17" s="132" t="n">
        <x:v>13</x:v>
      </x:c>
    </x:row>
    <x:row r="18">
      <x:c r="A18" s="136" t="str">
        <x:v>01043965001</x:v>
      </x:c>
      <x:c r="B18" s="132" t="str">
        <x:v>Cullman County</x:v>
      </x:c>
      <x:c r="C18" s="132" t="n">
        <x:v>1</x:v>
      </x:c>
      <x:c r="D18" s="134" t="n">
        <x:v>2652</x:v>
      </x:c>
      <x:c r="E18" s="133" t="n">
        <x:v>20.3</x:v>
      </x:c>
      <x:c r="F18" s="134" t="n">
        <x:v>2530</x:v>
      </x:c>
      <x:c r="G18" s="134" t="n">
        <x:v>1</x:v>
      </x:c>
      <x:c r="H18" s="134" t="n">
        <x:v>1592</x:v>
      </x:c>
      <x:c r="I18" s="134" t="n">
        <x:v>1519</x:v>
      </x:c>
      <x:c r="J18" s="133" t="n">
        <x:v>60.030165912518854</x:v>
      </x:c>
      <x:c r="K18" s="133" t="n">
        <x:v>60.0395256916996</x:v>
      </x:c>
      <x:c r="L18" s="133" t="n">
        <x:v>60</x:v>
      </x:c>
      <x:c r="M18" s="133" t="n">
        <x:v>60.093896713615024</x:v>
      </x:c>
      <x:c r="N18" s="133" t="n">
        <x:v>60.869565217391305</x:v>
      </x:c>
      <x:c r="O18" s="133" t="n">
        <x:v>58.62068965517241</x:v>
      </x:c>
      <x:c r="P18" s="132" t="n">
        <x:v>14</x:v>
      </x:c>
    </x:row>
    <x:row r="19">
      <x:c r="A19" s="136" t="str">
        <x:v>01125010304</x:v>
      </x:c>
      <x:c r="B19" s="132" t="str">
        <x:v>Tuscaloosa County</x:v>
      </x:c>
      <x:c r="C19" s="132" t="n">
        <x:v>1</x:v>
      </x:c>
      <x:c r="D19" s="134" t="n">
        <x:v>4469</x:v>
      </x:c>
      <x:c r="E19" s="133" t="n">
        <x:v>28.6</x:v>
      </x:c>
      <x:c r="F19" s="134" t="n">
        <x:v>2902</x:v>
      </x:c>
      <x:c r="G19" s="134" t="n">
        <x:v>1</x:v>
      </x:c>
      <x:c r="H19" s="134" t="n">
        <x:v>2301</x:v>
      </x:c>
      <x:c r="I19" s="134" t="n">
        <x:v>1494</x:v>
      </x:c>
      <x:c r="J19" s="133" t="n">
        <x:v>51.488028641754305</x:v>
      </x:c>
      <x:c r="K19" s="133" t="n">
        <x:v>51.48173673328739</x:v>
      </x:c>
      <x:c r="L19" s="133" t="n">
        <x:v>51.5</x:v>
      </x:c>
      <x:c r="M19" s="133" t="n">
        <x:v>51.55131264916468</x:v>
      </x:c>
      <x:c r="N19" s="133" t="n">
        <x:v>51.42857142857143</x:v>
      </x:c>
      <x:c r="O19" s="133" t="n">
        <x:v>51.39784946236559</x:v>
      </x:c>
      <x:c r="P19" s="132" t="n">
        <x:v>15</x:v>
      </x:c>
    </x:row>
    <x:row r="20">
      <x:c r="A20" s="136" t="str">
        <x:v>01089000403</x:v>
      </x:c>
      <x:c r="B20" s="132" t="str">
        <x:v>Madison County</x:v>
      </x:c>
      <x:c r="C20" s="132" t="n">
        <x:v>1</x:v>
      </x:c>
      <x:c r="D20" s="134" t="n">
        <x:v>4779</x:v>
      </x:c>
      <x:c r="E20" s="133" t="n">
        <x:v>9.8</x:v>
      </x:c>
      <x:c r="F20" s="134" t="n">
        <x:v>3520</x:v>
      </x:c>
      <x:c r="G20" s="134" t="n">
        <x:v>1</x:v>
      </x:c>
      <x:c r="H20" s="134" t="n">
        <x:v>2015</x:v>
      </x:c>
      <x:c r="I20" s="134" t="n">
        <x:v>1484</x:v>
      </x:c>
      <x:c r="J20" s="133" t="n">
        <x:v>42.163632559112784</x:v>
      </x:c>
      <x:c r="K20" s="133" t="n">
        <x:v>42.15909090909091</x:v>
      </x:c>
      <x:c r="L20" s="133" t="n">
        <x:v>42.172211350293544</x:v>
      </x:c>
      <x:c r="M20" s="133" t="n">
        <x:v>42.18905472636816</x:v>
      </x:c>
      <x:c r="N20" s="133" t="n">
        <x:v>43.24324324324324</x:v>
      </x:c>
      <x:c r="O20" s="133" t="n">
        <x:v>42.10526315789474</x:v>
      </x:c>
      <x:c r="P20" s="132" t="n">
        <x:v>16</x:v>
      </x:c>
    </x:row>
    <x:row r="21">
      <x:c r="A21" s="136" t="str">
        <x:v>01073012920</x:v>
      </x:c>
      <x:c r="B21" s="132" t="str">
        <x:v>Jefferson County</x:v>
      </x:c>
      <x:c r="C21" s="132" t="n">
        <x:v>1</x:v>
      </x:c>
      <x:c r="D21" s="134" t="n">
        <x:v>3239</x:v>
      </x:c>
      <x:c r="E21" s="133" t="n">
        <x:v>12.7</x:v>
      </x:c>
      <x:c r="F21" s="134" t="n">
        <x:v>1865</x:v>
      </x:c>
      <x:c r="G21" s="134" t="n">
        <x:v>1</x:v>
      </x:c>
      <x:c r="H21" s="134" t="n">
        <x:v>2567</x:v>
      </x:c>
      <x:c r="I21" s="134" t="n">
        <x:v>1478</x:v>
      </x:c>
      <x:c r="J21" s="133" t="n">
        <x:v>79.25285581969744</x:v>
      </x:c>
      <x:c r="K21" s="133" t="n">
        <x:v>79.24932975871313</x:v>
      </x:c>
      <x:c r="L21" s="133" t="n">
        <x:v>79.22077922077922</x:v>
      </x:c>
      <x:c r="M21" s="133" t="n">
        <x:v>79.16666666666667</x:v>
      </x:c>
      <x:c r="N21" s="133" t="n">
        <x:v>79.41176470588235</x:v>
      </x:c>
      <x:c r="O21" s="133" t="n">
        <x:v>80</x:v>
      </x:c>
      <x:c r="P21" s="132" t="n">
        <x:v>17</x:v>
      </x:c>
    </x:row>
    <x:row r="22">
      <x:c r="A22" s="136" t="str">
        <x:v>01015001202</x:v>
      </x:c>
      <x:c r="B22" s="132" t="str">
        <x:v>Calhoun County</x:v>
      </x:c>
      <x:c r="C22" s="132" t="n">
        <x:v>1</x:v>
      </x:c>
      <x:c r="D22" s="134" t="n">
        <x:v>4304</x:v>
      </x:c>
      <x:c r="E22" s="133" t="n">
        <x:v>22.6</x:v>
      </x:c>
      <x:c r="F22" s="134" t="n">
        <x:v>2596</x:v>
      </x:c>
      <x:c r="G22" s="134" t="n">
        <x:v>1</x:v>
      </x:c>
      <x:c r="H22" s="134" t="n">
        <x:v>2398</x:v>
      </x:c>
      <x:c r="I22" s="134" t="n">
        <x:v>1446</x:v>
      </x:c>
      <x:c r="J22" s="133" t="n">
        <x:v>55.715613382899626</x:v>
      </x:c>
      <x:c r="K22" s="133" t="n">
        <x:v>55.70107858243451</x:v>
      </x:c>
      <x:c r="L22" s="133" t="n">
        <x:v>55.6663644605621</x:v>
      </x:c>
      <x:c r="M22" s="133" t="n">
        <x:v>55.72207084468665</x:v>
      </x:c>
      <x:c r="N22" s="133"/>
      <x:c r="O22" s="133" t="n">
        <x:v>55.85585585585586</x:v>
      </x:c>
      <x:c r="P22" s="132" t="n">
        <x:v>18</x:v>
      </x:c>
    </x:row>
    <x:row r="23">
      <x:c r="A23" s="136" t="str">
        <x:v>01091972902</x:v>
      </x:c>
      <x:c r="B23" s="132" t="str">
        <x:v>Marengo County</x:v>
      </x:c>
      <x:c r="C23" s="132" t="n">
        <x:v>1</x:v>
      </x:c>
      <x:c r="D23" s="134" t="n">
        <x:v>3344</x:v>
      </x:c>
      <x:c r="E23" s="133" t="n">
        <x:v>31.5</x:v>
      </x:c>
      <x:c r="F23" s="134" t="n">
        <x:v>1947</x:v>
      </x:c>
      <x:c r="G23" s="134" t="n">
        <x:v>1</x:v>
      </x:c>
      <x:c r="H23" s="134" t="n">
        <x:v>2397</x:v>
      </x:c>
      <x:c r="I23" s="134" t="n">
        <x:v>1396</x:v>
      </x:c>
      <x:c r="J23" s="133" t="n">
        <x:v>71.68062200956938</x:v>
      </x:c>
      <x:c r="K23" s="133" t="n">
        <x:v>71.7000513610683</x:v>
      </x:c>
      <x:c r="L23" s="133" t="n">
        <x:v>71.67381974248927</x:v>
      </x:c>
      <x:c r="M23" s="133" t="n">
        <x:v>71.73913043478261</x:v>
      </x:c>
      <x:c r="N23" s="133" t="n">
        <x:v>71.70731707317073</x:v>
      </x:c>
      <x:c r="O23" s="133" t="n">
        <x:v>71.64179104477611</x:v>
      </x:c>
      <x:c r="P23" s="132" t="n">
        <x:v>19</x:v>
      </x:c>
    </x:row>
    <x:row r="24">
      <x:c r="A24" s="136" t="str">
        <x:v>01103005109</x:v>
      </x:c>
      <x:c r="B24" s="132" t="str">
        <x:v>Morgan County</x:v>
      </x:c>
      <x:c r="C24" s="132" t="n">
        <x:v>1</x:v>
      </x:c>
      <x:c r="D24" s="134" t="n">
        <x:v>4989</x:v>
      </x:c>
      <x:c r="E24" s="133" t="n">
        <x:v>11.5</x:v>
      </x:c>
      <x:c r="F24" s="134" t="n">
        <x:v>2468</x:v>
      </x:c>
      <x:c r="G24" s="134" t="n">
        <x:v>1</x:v>
      </x:c>
      <x:c r="H24" s="134" t="n">
        <x:v>2797</x:v>
      </x:c>
      <x:c r="I24" s="134" t="n">
        <x:v>1384</x:v>
      </x:c>
      <x:c r="J24" s="133" t="n">
        <x:v>56.06333934656244</x:v>
      </x:c>
      <x:c r="K24" s="133" t="n">
        <x:v>56.077795786061586</x:v>
      </x:c>
      <x:c r="L24" s="133" t="n">
        <x:v>56.0882800608828</x:v>
      </x:c>
      <x:c r="M24" s="133" t="n">
        <x:v>56.11038107752957</x:v>
      </x:c>
      <x:c r="N24" s="133" t="n">
        <x:v>56.25</x:v>
      </x:c>
      <x:c r="O24" s="133" t="n">
        <x:v>56.206896551724135</x:v>
      </x:c>
      <x:c r="P24" s="132" t="n">
        <x:v>20</x:v>
      </x:c>
    </x:row>
    <x:row r="25">
      <x:c r="A25" s="136" t="str">
        <x:v>01073011207</x:v>
      </x:c>
      <x:c r="B25" s="132" t="str">
        <x:v>Jefferson County</x:v>
      </x:c>
      <x:c r="C25" s="132" t="n">
        <x:v>1</x:v>
      </x:c>
      <x:c r="D25" s="134" t="n">
        <x:v>5103</x:v>
      </x:c>
      <x:c r="E25" s="133" t="n">
        <x:v>10.8</x:v>
      </x:c>
      <x:c r="F25" s="134" t="n">
        <x:v>3175</x:v>
      </x:c>
      <x:c r="G25" s="134" t="n">
        <x:v>1</x:v>
      </x:c>
      <x:c r="H25" s="134" t="n">
        <x:v>2177</x:v>
      </x:c>
      <x:c r="I25" s="134" t="n">
        <x:v>1354</x:v>
      </x:c>
      <x:c r="J25" s="133" t="n">
        <x:v>42.661179698216735</x:v>
      </x:c>
      <x:c r="K25" s="133" t="n">
        <x:v>42.645669291338585</x:v>
      </x:c>
      <x:c r="L25" s="133" t="n">
        <x:v>42.63565891472868</x:v>
      </x:c>
      <x:c r="M25" s="133" t="n">
        <x:v>42.74809160305343</x:v>
      </x:c>
      <x:c r="N25" s="133" t="n">
        <x:v>43.037974683544306</x:v>
      </x:c>
      <x:c r="O25" s="133" t="n">
        <x:v>42.687747035573125</x:v>
      </x:c>
      <x:c r="P25" s="132" t="n">
        <x:v>21</x:v>
      </x:c>
    </x:row>
    <x:row r="26">
      <x:c r="A26" s="136" t="str">
        <x:v>01073012306</x:v>
      </x:c>
      <x:c r="B26" s="132" t="str">
        <x:v>Jefferson County</x:v>
      </x:c>
      <x:c r="C26" s="132" t="n">
        <x:v>1</x:v>
      </x:c>
      <x:c r="D26" s="134" t="n">
        <x:v>3581</x:v>
      </x:c>
      <x:c r="E26" s="133" t="n">
        <x:v>23.1</x:v>
      </x:c>
      <x:c r="F26" s="134" t="n">
        <x:v>2404</x:v>
      </x:c>
      <x:c r="G26" s="134" t="n">
        <x:v>1</x:v>
      </x:c>
      <x:c r="H26" s="134" t="n">
        <x:v>2009</x:v>
      </x:c>
      <x:c r="I26" s="134" t="n">
        <x:v>1349</x:v>
      </x:c>
      <x:c r="J26" s="133" t="n">
        <x:v>56.10164758447361</x:v>
      </x:c>
      <x:c r="K26" s="133" t="n">
        <x:v>56.11480865224625</x:v>
      </x:c>
      <x:c r="L26" s="133" t="n">
        <x:v>56.14035087719298</x:v>
      </x:c>
      <x:c r="M26" s="133" t="n">
        <x:v>56.18320610687023</x:v>
      </x:c>
      <x:c r="N26" s="133" t="n">
        <x:v>56.36363636363637</x:v>
      </x:c>
      <x:c r="O26" s="133" t="n">
        <x:v>56</x:v>
      </x:c>
      <x:c r="P26" s="132" t="n">
        <x:v>22</x:v>
      </x:c>
    </x:row>
    <x:row r="27">
      <x:c r="A27" s="136" t="str">
        <x:v>01073012103</x:v>
      </x:c>
      <x:c r="B27" s="132" t="str">
        <x:v>Jefferson County</x:v>
      </x:c>
      <x:c r="C27" s="132" t="n">
        <x:v>1</x:v>
      </x:c>
      <x:c r="D27" s="134" t="n">
        <x:v>4277</x:v>
      </x:c>
      <x:c r="E27" s="133" t="n">
        <x:v>15.5</x:v>
      </x:c>
      <x:c r="F27" s="134" t="n">
        <x:v>2772</x:v>
      </x:c>
      <x:c r="G27" s="134" t="n">
        <x:v>1</x:v>
      </x:c>
      <x:c r="H27" s="134" t="n">
        <x:v>2059</x:v>
      </x:c>
      <x:c r="I27" s="134" t="n">
        <x:v>1335</x:v>
      </x:c>
      <x:c r="J27" s="133" t="n">
        <x:v>48.141220481646016</x:v>
      </x:c>
      <x:c r="K27" s="133" t="n">
        <x:v>48.16017316017316</x:v>
      </x:c>
      <x:c r="L27" s="133" t="n">
        <x:v>48.16568047337278</x:v>
      </x:c>
      <x:c r="M27" s="133" t="n">
        <x:v>48.095238095238095</x:v>
      </x:c>
      <x:c r="N27" s="133" t="n">
        <x:v>48.42767295597484</x:v>
      </x:c>
      <x:c r="O27" s="133" t="n">
        <x:v>48.3271375464684</x:v>
      </x:c>
      <x:c r="P27" s="132" t="n">
        <x:v>23</x:v>
      </x:c>
    </x:row>
    <x:row r="28">
      <x:c r="A28" s="136" t="str">
        <x:v>01113030402</x:v>
      </x:c>
      <x:c r="B28" s="132" t="str">
        <x:v>Russell County</x:v>
      </x:c>
      <x:c r="C28" s="132" t="n">
        <x:v>1</x:v>
      </x:c>
      <x:c r="D28" s="134" t="n">
        <x:v>3252</x:v>
      </x:c>
      <x:c r="E28" s="133" t="n">
        <x:v>16.7</x:v>
      </x:c>
      <x:c r="F28" s="134" t="n">
        <x:v>2327</x:v>
      </x:c>
      <x:c r="G28" s="134" t="n">
        <x:v>1</x:v>
      </x:c>
      <x:c r="H28" s="134" t="n">
        <x:v>1713</x:v>
      </x:c>
      <x:c r="I28" s="134" t="n">
        <x:v>1226</x:v>
      </x:c>
      <x:c r="J28" s="133" t="n">
        <x:v>52.67527675276753</x:v>
      </x:c>
      <x:c r="K28" s="133" t="n">
        <x:v>52.685861624409114</x:v>
      </x:c>
      <x:c r="L28" s="133" t="n">
        <x:v>52.60347129506008</x:v>
      </x:c>
      <x:c r="M28" s="133" t="n">
        <x:v>52.60663507109005</x:v>
      </x:c>
      <x:c r="N28" s="133" t="n">
        <x:v>52.857142857142854</x:v>
      </x:c>
      <x:c r="O28" s="133" t="n">
        <x:v>52.60663507109005</x:v>
      </x:c>
      <x:c r="P28" s="132" t="n">
        <x:v>24</x:v>
      </x:c>
    </x:row>
    <x:row r="29">
      <x:c r="A29" s="136" t="str">
        <x:v>01127020301</x:v>
      </x:c>
      <x:c r="B29" s="132" t="str">
        <x:v>Walker County</x:v>
      </x:c>
      <x:c r="C29" s="132" t="n">
        <x:v>1</x:v>
      </x:c>
      <x:c r="D29" s="134" t="n">
        <x:v>3982</x:v>
      </x:c>
      <x:c r="E29" s="133" t="n">
        <x:v>20.1</x:v>
      </x:c>
      <x:c r="F29" s="134" t="n">
        <x:v>2563</x:v>
      </x:c>
      <x:c r="G29" s="134" t="n">
        <x:v>1</x:v>
      </x:c>
      <x:c r="H29" s="134" t="n">
        <x:v>1903</x:v>
      </x:c>
      <x:c r="I29" s="134" t="n">
        <x:v>1225</x:v>
      </x:c>
      <x:c r="J29" s="133" t="n">
        <x:v>47.790055248618785</x:v>
      </x:c>
      <x:c r="K29" s="133" t="n">
        <x:v>47.79555208739758</x:v>
      </x:c>
      <x:c r="L29" s="133" t="n">
        <x:v>47.781569965870304</x:v>
      </x:c>
      <x:c r="M29" s="133" t="n">
        <x:v>47.83118405627198</x:v>
      </x:c>
      <x:c r="N29" s="133" t="n">
        <x:v>47.61904761904762</x:v>
      </x:c>
      <x:c r="O29" s="133" t="n">
        <x:v>47.79661016949152</x:v>
      </x:c>
      <x:c r="P29" s="132" t="n">
        <x:v>25</x:v>
      </x:c>
    </x:row>
    <x:row r="30">
      <x:c r="A30" s="136" t="str">
        <x:v>01055001600</x:v>
      </x:c>
      <x:c r="B30" s="132" t="str">
        <x:v>Etowah County</x:v>
      </x:c>
      <x:c r="C30" s="132" t="n">
        <x:v>1</x:v>
      </x:c>
      <x:c r="D30" s="134" t="n">
        <x:v>3271</x:v>
      </x:c>
      <x:c r="E30" s="133" t="n">
        <x:v>18.2</x:v>
      </x:c>
      <x:c r="F30" s="134" t="n">
        <x:v>2010</x:v>
      </x:c>
      <x:c r="G30" s="134" t="n">
        <x:v>1</x:v>
      </x:c>
      <x:c r="H30" s="134" t="n">
        <x:v>1992</x:v>
      </x:c>
      <x:c r="I30" s="134" t="n">
        <x:v>1224</x:v>
      </x:c>
      <x:c r="J30" s="133" t="n">
        <x:v>60.89880770406604</x:v>
      </x:c>
      <x:c r="K30" s="133" t="n">
        <x:v>60.8955223880597</x:v>
      </x:c>
      <x:c r="L30" s="133" t="n">
        <x:v>60.87689713322091</x:v>
      </x:c>
      <x:c r="M30" s="133" t="n">
        <x:v>60.92814371257485</x:v>
      </x:c>
      <x:c r="N30" s="133" t="n">
        <x:v>61.53846153846154</x:v>
      </x:c>
      <x:c r="O30" s="133" t="n">
        <x:v>61.04294478527607</x:v>
      </x:c>
      <x:c r="P30" s="132" t="n">
        <x:v>26</x:v>
      </x:c>
    </x:row>
    <x:row r="31">
      <x:c r="A31" s="136" t="str">
        <x:v>01113030602</x:v>
      </x:c>
      <x:c r="B31" s="132" t="str">
        <x:v>Russell County</x:v>
      </x:c>
      <x:c r="C31" s="132" t="n">
        <x:v>1</x:v>
      </x:c>
      <x:c r="D31" s="134" t="n">
        <x:v>4525</x:v>
      </x:c>
      <x:c r="E31" s="133" t="n">
        <x:v>10.2</x:v>
      </x:c>
      <x:c r="F31" s="134" t="n">
        <x:v>3483</x:v>
      </x:c>
      <x:c r="G31" s="134" t="n">
        <x:v>1</x:v>
      </x:c>
      <x:c r="H31" s="134" t="n">
        <x:v>1586</x:v>
      </x:c>
      <x:c r="I31" s="134" t="n">
        <x:v>1221</x:v>
      </x:c>
      <x:c r="J31" s="133" t="n">
        <x:v>35.049723756906076</x:v>
      </x:c>
      <x:c r="K31" s="133" t="n">
        <x:v>35.055986218776916</x:v>
      </x:c>
      <x:c r="L31" s="133" t="n">
        <x:v>35.07737656595431</x:v>
      </x:c>
      <x:c r="M31" s="133" t="n">
        <x:v>35.13513513513514</x:v>
      </x:c>
      <x:c r="N31" s="133" t="n">
        <x:v>34.90909090909091</x:v>
      </x:c>
      <x:c r="O31" s="133" t="n">
        <x:v>35.01483679525222</x:v>
      </x:c>
      <x:c r="P31" s="132" t="n">
        <x:v>27</x:v>
      </x:c>
    </x:row>
    <x:row r="32">
      <x:c r="A32" s="136" t="str">
        <x:v>01017954700</x:v>
      </x:c>
      <x:c r="B32" s="132" t="str">
        <x:v>Chambers County</x:v>
      </x:c>
      <x:c r="C32" s="132" t="n">
        <x:v>1</x:v>
      </x:c>
      <x:c r="D32" s="134" t="n">
        <x:v>4489</x:v>
      </x:c>
      <x:c r="E32" s="133" t="n">
        <x:v>21.3</x:v>
      </x:c>
      <x:c r="F32" s="134" t="n">
        <x:v>2285</x:v>
      </x:c>
      <x:c r="G32" s="134" t="n">
        <x:v>1</x:v>
      </x:c>
      <x:c r="H32" s="134" t="n">
        <x:v>2351</x:v>
      </x:c>
      <x:c r="I32" s="134" t="n">
        <x:v>1197</x:v>
      </x:c>
      <x:c r="J32" s="133" t="n">
        <x:v>52.372466028068615</x:v>
      </x:c>
      <x:c r="K32" s="133" t="n">
        <x:v>52.38512035010941</x:v>
      </x:c>
      <x:c r="L32" s="133" t="n">
        <x:v>52.385685884691846</x:v>
      </x:c>
      <x:c r="M32" s="133" t="n">
        <x:v>52.33160621761658</x:v>
      </x:c>
      <x:c r="N32" s="133" t="n">
        <x:v>52.38095238095238</x:v>
      </x:c>
      <x:c r="O32" s="133" t="n">
        <x:v>52.27272727272727</x:v>
      </x:c>
      <x:c r="P32" s="132" t="n">
        <x:v>28</x:v>
      </x:c>
    </x:row>
    <x:row r="33">
      <x:c r="A33" s="136" t="str">
        <x:v>01097006307</x:v>
      </x:c>
      <x:c r="B33" s="132" t="str">
        <x:v>Mobile County</x:v>
      </x:c>
      <x:c r="C33" s="132" t="n">
        <x:v>1</x:v>
      </x:c>
      <x:c r="D33" s="134" t="n">
        <x:v>3253</x:v>
      </x:c>
      <x:c r="E33" s="133" t="n">
        <x:v>27.2</x:v>
      </x:c>
      <x:c r="F33" s="134" t="n">
        <x:v>2246</x:v>
      </x:c>
      <x:c r="G33" s="134" t="n">
        <x:v>1</x:v>
      </x:c>
      <x:c r="H33" s="134" t="n">
        <x:v>1666</x:v>
      </x:c>
      <x:c r="I33" s="134" t="n">
        <x:v>1150</x:v>
      </x:c>
      <x:c r="J33" s="133" t="n">
        <x:v>51.21426375653243</x:v>
      </x:c>
      <x:c r="K33" s="133" t="n">
        <x:v>51.20213713268032</x:v>
      </x:c>
      <x:c r="L33" s="133" t="n">
        <x:v>51.1968085106383</x:v>
      </x:c>
      <x:c r="M33" s="133" t="n">
        <x:v>51.21580547112462</x:v>
      </x:c>
      <x:c r="N33" s="133" t="n">
        <x:v>51.785714285714285</x:v>
      </x:c>
      <x:c r="O33" s="133" t="n">
        <x:v>50.833333333333336</x:v>
      </x:c>
      <x:c r="P33" s="132" t="n">
        <x:v>29</x:v>
      </x:c>
    </x:row>
    <x:row r="34">
      <x:c r="A34" s="136" t="str">
        <x:v>01097001902</x:v>
      </x:c>
      <x:c r="B34" s="132" t="str">
        <x:v>Mobile County</x:v>
      </x:c>
      <x:c r="C34" s="132" t="n">
        <x:v>1</x:v>
      </x:c>
      <x:c r="D34" s="134" t="n">
        <x:v>3190</x:v>
      </x:c>
      <x:c r="E34" s="133" t="n">
        <x:v>31.4</x:v>
      </x:c>
      <x:c r="F34" s="134" t="n">
        <x:v>1846</x:v>
      </x:c>
      <x:c r="G34" s="134" t="n">
        <x:v>1</x:v>
      </x:c>
      <x:c r="H34" s="134" t="n">
        <x:v>1975</x:v>
      </x:c>
      <x:c r="I34" s="134" t="n">
        <x:v>1143</x:v>
      </x:c>
      <x:c r="J34" s="133" t="n">
        <x:v>61.912225705329156</x:v>
      </x:c>
      <x:c r="K34" s="133" t="n">
        <x:v>61.91765980498375</x:v>
      </x:c>
      <x:c r="L34" s="133" t="n">
        <x:v>61.96682464454976</x:v>
      </x:c>
      <x:c r="M34" s="133" t="n">
        <x:v>61.96319018404908</x:v>
      </x:c>
      <x:c r="N34" s="133" t="n">
        <x:v>60.869565217391305</x:v>
      </x:c>
      <x:c r="O34" s="133" t="n">
        <x:v>61.971830985915496</x:v>
      </x:c>
      <x:c r="P34" s="132" t="n">
        <x:v>30</x:v>
      </x:c>
    </x:row>
    <x:row r="35">
      <x:c r="A35" s="136" t="str">
        <x:v>01073012914</x:v>
      </x:c>
      <x:c r="B35" s="132" t="str">
        <x:v>Jefferson County</x:v>
      </x:c>
      <x:c r="C35" s="132" t="n">
        <x:v>1</x:v>
      </x:c>
      <x:c r="D35" s="134" t="n">
        <x:v>2206</x:v>
      </x:c>
      <x:c r="E35" s="133" t="n">
        <x:v>21.2</x:v>
      </x:c>
      <x:c r="F35" s="134" t="n">
        <x:v>1481</x:v>
      </x:c>
      <x:c r="G35" s="134" t="n">
        <x:v>1</x:v>
      </x:c>
      <x:c r="H35" s="134" t="n">
        <x:v>1700</x:v>
      </x:c>
      <x:c r="I35" s="134" t="n">
        <x:v>1141</x:v>
      </x:c>
      <x:c r="J35" s="133" t="n">
        <x:v>77.0625566636446</x:v>
      </x:c>
      <x:c r="K35" s="133" t="n">
        <x:v>77.04253882511816</x:v>
      </x:c>
      <x:c r="L35" s="133" t="n">
        <x:v>77.21518987341773</x:v>
      </x:c>
      <x:c r="M35" s="133" t="n">
        <x:v>77.10109622411693</x:v>
      </x:c>
      <x:c r="N35" s="133" t="n">
        <x:v>76.92307692307692</x:v>
      </x:c>
      <x:c r="O35" s="133" t="n">
        <x:v>75</x:v>
      </x:c>
      <x:c r="P35" s="132" t="n">
        <x:v>31</x:v>
      </x:c>
    </x:row>
    <x:row r="36">
      <x:c r="A36" s="136" t="str">
        <x:v>01051031002</x:v>
      </x:c>
      <x:c r="B36" s="132" t="str">
        <x:v>Elmore County</x:v>
      </x:c>
      <x:c r="C36" s="132" t="n">
        <x:v>1</x:v>
      </x:c>
      <x:c r="D36" s="134" t="n">
        <x:v>3610</x:v>
      </x:c>
      <x:c r="E36" s="133" t="n">
        <x:v>10.7</x:v>
      </x:c>
      <x:c r="F36" s="134" t="n">
        <x:v>2260</x:v>
      </x:c>
      <x:c r="G36" s="134" t="n">
        <x:v>1</x:v>
      </x:c>
      <x:c r="H36" s="134" t="n">
        <x:v>1805</x:v>
      </x:c>
      <x:c r="I36" s="134" t="n">
        <x:v>1130</x:v>
      </x:c>
      <x:c r="J36" s="133" t="n">
        <x:v>50</x:v>
      </x:c>
      <x:c r="K36" s="133" t="n">
        <x:v>50</x:v>
      </x:c>
      <x:c r="L36" s="133" t="n">
        <x:v>49.94400895856663</x:v>
      </x:c>
      <x:c r="M36" s="133" t="n">
        <x:v>49.896907216494846</x:v>
      </x:c>
      <x:c r="N36" s="133" t="n">
        <x:v>48.83720930232558</x:v>
      </x:c>
      <x:c r="O36" s="133" t="n">
        <x:v>50</x:v>
      </x:c>
      <x:c r="P36" s="132" t="n">
        <x:v>32</x:v>
      </x:c>
    </x:row>
    <x:row r="37">
      <x:c r="A37" s="136" t="str">
        <x:v>01097006904</x:v>
      </x:c>
      <x:c r="B37" s="132" t="str">
        <x:v>Mobile County</x:v>
      </x:c>
      <x:c r="C37" s="132" t="n">
        <x:v>1</x:v>
      </x:c>
      <x:c r="D37" s="134" t="n">
        <x:v>4296</x:v>
      </x:c>
      <x:c r="E37" s="133" t="n">
        <x:v>16.1</x:v>
      </x:c>
      <x:c r="F37" s="134" t="n">
        <x:v>2336</x:v>
      </x:c>
      <x:c r="G37" s="134" t="n">
        <x:v>1</x:v>
      </x:c>
      <x:c r="H37" s="134" t="n">
        <x:v>2060</x:v>
      </x:c>
      <x:c r="I37" s="134" t="n">
        <x:v>1120</x:v>
      </x:c>
      <x:c r="J37" s="133" t="n">
        <x:v>47.95158286778398</x:v>
      </x:c>
      <x:c r="K37" s="133" t="n">
        <x:v>47.945205479452056</x:v>
      </x:c>
      <x:c r="L37" s="133" t="n">
        <x:v>47.916666666666664</x:v>
      </x:c>
      <x:c r="M37" s="133" t="n">
        <x:v>48.01178203240059</x:v>
      </x:c>
      <x:c r="N37" s="133" t="n">
        <x:v>48</x:v>
      </x:c>
      <x:c r="O37" s="133" t="n">
        <x:v>48.04597701149425</x:v>
      </x:c>
      <x:c r="P37" s="132" t="n">
        <x:v>33</x:v>
      </x:c>
    </x:row>
    <x:row r="38">
      <x:c r="A38" s="136" t="str">
        <x:v>01113030906</x:v>
      </x:c>
      <x:c r="B38" s="132" t="str">
        <x:v>Russell County</x:v>
      </x:c>
      <x:c r="C38" s="132" t="n">
        <x:v>1</x:v>
      </x:c>
      <x:c r="D38" s="134" t="n">
        <x:v>3566</x:v>
      </x:c>
      <x:c r="E38" s="133" t="n">
        <x:v>29.3</x:v>
      </x:c>
      <x:c r="F38" s="134" t="n">
        <x:v>2185</x:v>
      </x:c>
      <x:c r="G38" s="134" t="n">
        <x:v>1</x:v>
      </x:c>
      <x:c r="H38" s="134" t="n">
        <x:v>1817</x:v>
      </x:c>
      <x:c r="I38" s="134" t="n">
        <x:v>1114</x:v>
      </x:c>
      <x:c r="J38" s="133" t="n">
        <x:v>50.95344924284913</x:v>
      </x:c>
      <x:c r="K38" s="133" t="n">
        <x:v>50.983981693363845</x:v>
      </x:c>
      <x:c r="L38" s="133" t="n">
        <x:v>50.90439276485788</x:v>
      </x:c>
      <x:c r="M38" s="133" t="n">
        <x:v>50.95238095238095</x:v>
      </x:c>
      <x:c r="N38" s="133" t="n">
        <x:v>51.06382978723404</x:v>
      </x:c>
      <x:c r="O38" s="133" t="n">
        <x:v>50.92838196286472</x:v>
      </x:c>
      <x:c r="P38" s="132" t="n">
        <x:v>34</x:v>
      </x:c>
    </x:row>
    <x:row r="39">
      <x:c r="A39" s="136" t="str">
        <x:v>01073014105</x:v>
      </x:c>
      <x:c r="B39" s="132" t="str">
        <x:v>Jefferson County</x:v>
      </x:c>
      <x:c r="C39" s="132" t="n">
        <x:v>1</x:v>
      </x:c>
      <x:c r="D39" s="134" t="n">
        <x:v>5057</x:v>
      </x:c>
      <x:c r="E39" s="133" t="n">
        <x:v>15.6</x:v>
      </x:c>
      <x:c r="F39" s="134" t="n">
        <x:v>2702</x:v>
      </x:c>
      <x:c r="G39" s="134" t="n">
        <x:v>1</x:v>
      </x:c>
      <x:c r="H39" s="134" t="n">
        <x:v>2026</x:v>
      </x:c>
      <x:c r="I39" s="134" t="n">
        <x:v>1082</x:v>
      </x:c>
      <x:c r="J39" s="133" t="n">
        <x:v>40.06327862368993</x:v>
      </x:c>
      <x:c r="K39" s="133" t="n">
        <x:v>40.04441154700222</x:v>
      </x:c>
      <x:c r="L39" s="133" t="n">
        <x:v>40.05876591576885</x:v>
      </x:c>
      <x:c r="M39" s="133" t="n">
        <x:v>40.020898641588296</x:v>
      </x:c>
      <x:c r="N39" s="133" t="n">
        <x:v>40</x:v>
      </x:c>
      <x:c r="O39" s="133" t="n">
        <x:v>39.716312056737586</x:v>
      </x:c>
      <x:c r="P39" s="132" t="n">
        <x:v>35</x:v>
      </x:c>
    </x:row>
    <x:row r="40">
      <x:c r="A40" s="136" t="str">
        <x:v>01015001700</x:v>
      </x:c>
      <x:c r="B40" s="132" t="str">
        <x:v>Calhoun County</x:v>
      </x:c>
      <x:c r="C40" s="132" t="n">
        <x:v>1</x:v>
      </x:c>
      <x:c r="D40" s="134" t="n">
        <x:v>6023</x:v>
      </x:c>
      <x:c r="E40" s="133" t="n">
        <x:v>16.2</x:v>
      </x:c>
      <x:c r="F40" s="134" t="n">
        <x:v>3534</x:v>
      </x:c>
      <x:c r="G40" s="134" t="n">
        <x:v>1</x:v>
      </x:c>
      <x:c r="H40" s="134" t="n">
        <x:v>1830</x:v>
      </x:c>
      <x:c r="I40" s="134" t="n">
        <x:v>1074</x:v>
      </x:c>
      <x:c r="J40" s="133" t="n">
        <x:v>30.38352980242404</x:v>
      </x:c>
      <x:c r="K40" s="133" t="n">
        <x:v>30.39049235993209</x:v>
      </x:c>
      <x:c r="L40" s="133" t="n">
        <x:v>30.378726833199032</x:v>
      </x:c>
      <x:c r="M40" s="133" t="n">
        <x:v>30.392156862745097</x:v>
      </x:c>
      <x:c r="N40" s="133" t="n">
        <x:v>30.612244897959183</x:v>
      </x:c>
      <x:c r="O40" s="133" t="n">
        <x:v>30.44280442804428</x:v>
      </x:c>
      <x:c r="P40" s="132" t="n">
        <x:v>36</x:v>
      </x:c>
    </x:row>
    <x:row r="41">
      <x:c r="A41" s="136" t="str">
        <x:v>01095030701</x:v>
      </x:c>
      <x:c r="B41" s="132" t="str">
        <x:v>Marshall County</x:v>
      </x:c>
      <x:c r="C41" s="132" t="n">
        <x:v>1</x:v>
      </x:c>
      <x:c r="D41" s="134" t="n">
        <x:v>3689</x:v>
      </x:c>
      <x:c r="E41" s="133" t="n">
        <x:v>23.6</x:v>
      </x:c>
      <x:c r="F41" s="134" t="n">
        <x:v>1823</x:v>
      </x:c>
      <x:c r="G41" s="134" t="n">
        <x:v>1</x:v>
      </x:c>
      <x:c r="H41" s="134" t="n">
        <x:v>2137</x:v>
      </x:c>
      <x:c r="I41" s="134" t="n">
        <x:v>1056</x:v>
      </x:c>
      <x:c r="J41" s="133" t="n">
        <x:v>57.92897804283003</x:v>
      </x:c>
      <x:c r="K41" s="133" t="n">
        <x:v>57.926494788809656</x:v>
      </x:c>
      <x:c r="L41" s="133" t="n">
        <x:v>57.88262370540851</x:v>
      </x:c>
      <x:c r="M41" s="133" t="n">
        <x:v>57.988980716253444</x:v>
      </x:c>
      <x:c r="N41" s="133" t="n">
        <x:v>58.69565217391305</x:v>
      </x:c>
      <x:c r="O41" s="133" t="n">
        <x:v>57.80590717299578</x:v>
      </x:c>
      <x:c r="P41" s="132" t="n">
        <x:v>37</x:v>
      </x:c>
    </x:row>
    <x:row r="42">
      <x:c r="A42" s="136" t="str">
        <x:v>01071950200</x:v>
      </x:c>
      <x:c r="B42" s="132" t="str">
        <x:v>Jackson County</x:v>
      </x:c>
      <x:c r="C42" s="132" t="n">
        <x:v>1</x:v>
      </x:c>
      <x:c r="D42" s="134" t="n">
        <x:v>3360</x:v>
      </x:c>
      <x:c r="E42" s="133" t="n">
        <x:v>21.3</x:v>
      </x:c>
      <x:c r="F42" s="134" t="n">
        <x:v>1781</x:v>
      </x:c>
      <x:c r="G42" s="134" t="n">
        <x:v>1</x:v>
      </x:c>
      <x:c r="H42" s="134" t="n">
        <x:v>1975</x:v>
      </x:c>
      <x:c r="I42" s="134" t="n">
        <x:v>1047</x:v>
      </x:c>
      <x:c r="J42" s="133" t="n">
        <x:v>58.779761904761905</x:v>
      </x:c>
      <x:c r="K42" s="133" t="n">
        <x:v>58.7871982032566</x:v>
      </x:c>
      <x:c r="L42" s="133" t="n">
        <x:v>58.84057971014493</x:v>
      </x:c>
      <x:c r="M42" s="133" t="n">
        <x:v>58.789625360230545</x:v>
      </x:c>
      <x:c r="N42" s="133" t="n">
        <x:v>58.53658536585366</x:v>
      </x:c>
      <x:c r="O42" s="133" t="n">
        <x:v>58.8477366255144</x:v>
      </x:c>
      <x:c r="P42" s="132" t="n">
        <x:v>38</x:v>
      </x:c>
    </x:row>
    <x:row r="43">
      <x:c r="A43" s="136" t="str">
        <x:v>01021060104</x:v>
      </x:c>
      <x:c r="B43" s="132" t="str">
        <x:v>Chilton County</x:v>
      </x:c>
      <x:c r="C43" s="132" t="n">
        <x:v>1</x:v>
      </x:c>
      <x:c r="D43" s="134" t="n">
        <x:v>3348</x:v>
      </x:c>
      <x:c r="E43" s="133" t="n">
        <x:v>21.8</x:v>
      </x:c>
      <x:c r="F43" s="134" t="n">
        <x:v>2049</x:v>
      </x:c>
      <x:c r="G43" s="134" t="n">
        <x:v>1</x:v>
      </x:c>
      <x:c r="H43" s="134" t="n">
        <x:v>1668</x:v>
      </x:c>
      <x:c r="I43" s="134" t="n">
        <x:v>1021</x:v>
      </x:c>
      <x:c r="J43" s="133" t="n">
        <x:v>49.82078853046595</x:v>
      </x:c>
      <x:c r="K43" s="133" t="n">
        <x:v>49.82918496827721</x:v>
      </x:c>
      <x:c r="L43" s="133" t="n">
        <x:v>49.796472184531886</x:v>
      </x:c>
      <x:c r="M43" s="133" t="n">
        <x:v>49.865951742627345</x:v>
      </x:c>
      <x:c r="N43" s="133" t="n">
        <x:v>49.473684210526315</x:v>
      </x:c>
      <x:c r="O43" s="133" t="n">
        <x:v>49.799196787148595</x:v>
      </x:c>
      <x:c r="P43" s="132" t="n">
        <x:v>39</x:v>
      </x:c>
    </x:row>
    <x:row r="44">
      <x:c r="A44" s="136" t="str">
        <x:v>01123962100</x:v>
      </x:c>
      <x:c r="B44" s="132" t="str">
        <x:v>Tallapoosa County</x:v>
      </x:c>
      <x:c r="C44" s="132" t="n">
        <x:v>1</x:v>
      </x:c>
      <x:c r="D44" s="134" t="n">
        <x:v>3936</x:v>
      </x:c>
      <x:c r="E44" s="133" t="n">
        <x:v>22.1</x:v>
      </x:c>
      <x:c r="F44" s="134" t="n">
        <x:v>2001</x:v>
      </x:c>
      <x:c r="G44" s="134" t="n">
        <x:v>1</x:v>
      </x:c>
      <x:c r="H44" s="134" t="n">
        <x:v>1998</x:v>
      </x:c>
      <x:c r="I44" s="134" t="n">
        <x:v>1016</x:v>
      </x:c>
      <x:c r="J44" s="133" t="n">
        <x:v>50.76219512195122</x:v>
      </x:c>
      <x:c r="K44" s="133" t="n">
        <x:v>50.774612693653175</x:v>
      </x:c>
      <x:c r="L44" s="133" t="n">
        <x:v>50.814332247557005</x:v>
      </x:c>
      <x:c r="M44" s="133" t="n">
        <x:v>50.81967213114754</x:v>
      </x:c>
      <x:c r="N44" s="133" t="n">
        <x:v>50.98039215686274</x:v>
      </x:c>
      <x:c r="O44" s="133" t="n">
        <x:v>50.74626865671642</x:v>
      </x:c>
      <x:c r="P44" s="132" t="n">
        <x:v>40</x:v>
      </x:c>
    </x:row>
    <x:row r="45">
      <x:c r="A45" s="136" t="str">
        <x:v>01097001901</x:v>
      </x:c>
      <x:c r="B45" s="132" t="str">
        <x:v>Mobile County</x:v>
      </x:c>
      <x:c r="C45" s="132" t="n">
        <x:v>1</x:v>
      </x:c>
      <x:c r="D45" s="134" t="n">
        <x:v>2012</x:v>
      </x:c>
      <x:c r="E45" s="133" t="n">
        <x:v>15.1</x:v>
      </x:c>
      <x:c r="F45" s="134" t="n">
        <x:v>1165</x:v>
      </x:c>
      <x:c r="G45" s="134" t="n">
        <x:v>1</x:v>
      </x:c>
      <x:c r="H45" s="134" t="n">
        <x:v>1681</x:v>
      </x:c>
      <x:c r="I45" s="134" t="n">
        <x:v>973</x:v>
      </x:c>
      <x:c r="J45" s="133" t="n">
        <x:v>83.54870775347912</x:v>
      </x:c>
      <x:c r="K45" s="133" t="n">
        <x:v>83.51931330472102</x:v>
      </x:c>
      <x:c r="L45" s="133" t="n">
        <x:v>83.49705304518665</x:v>
      </x:c>
      <x:c r="M45" s="133" t="n">
        <x:v>83.6676217765043</x:v>
      </x:c>
      <x:c r="N45" s="133" t="n">
        <x:v>84</x:v>
      </x:c>
      <x:c r="O45" s="133" t="n">
        <x:v>83.41968911917098</x:v>
      </x:c>
      <x:c r="P45" s="132" t="n">
        <x:v>41</x:v>
      </x:c>
    </x:row>
    <x:row r="46">
      <x:c r="A46" s="136" t="str">
        <x:v>01099075902</x:v>
      </x:c>
      <x:c r="B46" s="132" t="str">
        <x:v>Monroe County</x:v>
      </x:c>
      <x:c r="C46" s="132" t="n">
        <x:v>1</x:v>
      </x:c>
      <x:c r="D46" s="134" t="n">
        <x:v>2669</x:v>
      </x:c>
      <x:c r="E46" s="133" t="n">
        <x:v>22.1</x:v>
      </x:c>
      <x:c r="F46" s="134" t="n">
        <x:v>1934</x:v>
      </x:c>
      <x:c r="G46" s="134" t="n">
        <x:v>1</x:v>
      </x:c>
      <x:c r="H46" s="134" t="n">
        <x:v>1336</x:v>
      </x:c>
      <x:c r="I46" s="134" t="n">
        <x:v>968</x:v>
      </x:c>
      <x:c r="J46" s="133" t="n">
        <x:v>50.056200824278754</x:v>
      </x:c>
      <x:c r="K46" s="133" t="n">
        <x:v>50.0517063081696</x:v>
      </x:c>
      <x:c r="L46" s="133" t="n">
        <x:v>50</x:v>
      </x:c>
      <x:c r="M46" s="133" t="n">
        <x:v>50</x:v>
      </x:c>
      <x:c r="N46" s="133" t="n">
        <x:v>50.943396226415096</x:v>
      </x:c>
      <x:c r="O46" s="133" t="n">
        <x:v>50</x:v>
      </x:c>
      <x:c r="P46" s="132" t="n">
        <x:v>42</x:v>
      </x:c>
    </x:row>
    <x:row r="47">
      <x:c r="A47" s="136" t="str">
        <x:v>01073005909</x:v>
      </x:c>
      <x:c r="B47" s="132" t="str">
        <x:v>Jefferson County</x:v>
      </x:c>
      <x:c r="C47" s="132" t="n">
        <x:v>1</x:v>
      </x:c>
      <x:c r="D47" s="134" t="n">
        <x:v>2514</x:v>
      </x:c>
      <x:c r="E47" s="133" t="n">
        <x:v>17.5</x:v>
      </x:c>
      <x:c r="F47" s="134" t="n">
        <x:v>1478</x:v>
      </x:c>
      <x:c r="G47" s="134" t="n">
        <x:v>1</x:v>
      </x:c>
      <x:c r="H47" s="134" t="n">
        <x:v>1633</x:v>
      </x:c>
      <x:c r="I47" s="134" t="n">
        <x:v>960</x:v>
      </x:c>
      <x:c r="J47" s="133" t="n">
        <x:v>64.95624502784408</x:v>
      </x:c>
      <x:c r="K47" s="133" t="n">
        <x:v>64.95263870094723</x:v>
      </x:c>
      <x:c r="L47" s="133" t="n">
        <x:v>65.01706484641639</x:v>
      </x:c>
      <x:c r="M47" s="133" t="n">
        <x:v>64.8414985590778</x:v>
      </x:c>
      <x:c r="N47" s="133" t="n">
        <x:v>64.28571428571429</x:v>
      </x:c>
      <x:c r="O47" s="133" t="n">
        <x:v>65.34653465346534</x:v>
      </x:c>
      <x:c r="P47" s="132" t="n">
        <x:v>43</x:v>
      </x:c>
    </x:row>
    <x:row r="48">
      <x:c r="A48" s="136" t="str">
        <x:v>01121011301</x:v>
      </x:c>
      <x:c r="B48" s="132" t="str">
        <x:v>Talladega County</x:v>
      </x:c>
      <x:c r="C48" s="132" t="n">
        <x:v>1</x:v>
      </x:c>
      <x:c r="D48" s="134" t="n">
        <x:v>2875</x:v>
      </x:c>
      <x:c r="E48" s="133" t="n">
        <x:v>22.7</x:v>
      </x:c>
      <x:c r="F48" s="134" t="n">
        <x:v>1711</x:v>
      </x:c>
      <x:c r="G48" s="134" t="n">
        <x:v>1</x:v>
      </x:c>
      <x:c r="H48" s="134" t="n">
        <x:v>1609</x:v>
      </x:c>
      <x:c r="I48" s="134" t="n">
        <x:v>957</x:v>
      </x:c>
      <x:c r="J48" s="133" t="n">
        <x:v>55.96521739130435</x:v>
      </x:c>
      <x:c r="K48" s="133" t="n">
        <x:v>55.932203389830505</x:v>
      </x:c>
      <x:c r="L48" s="133" t="n">
        <x:v>55.88235294117647</x:v>
      </x:c>
      <x:c r="M48" s="133" t="n">
        <x:v>55.893536121673</x:v>
      </x:c>
      <x:c r="N48" s="133" t="n">
        <x:v>56.18556701030928</x:v>
      </x:c>
      <x:c r="O48" s="133" t="n">
        <x:v>55.92417061611374</x:v>
      </x:c>
      <x:c r="P48" s="132" t="n">
        <x:v>44</x:v>
      </x:c>
    </x:row>
    <x:row r="49">
      <x:c r="A49" s="136" t="str">
        <x:v>01097007102</x:v>
      </x:c>
      <x:c r="B49" s="132" t="str">
        <x:v>Mobile County</x:v>
      </x:c>
      <x:c r="C49" s="132" t="n">
        <x:v>1</x:v>
      </x:c>
      <x:c r="D49" s="134" t="n">
        <x:v>3201</x:v>
      </x:c>
      <x:c r="E49" s="133" t="n">
        <x:v>21.8</x:v>
      </x:c>
      <x:c r="F49" s="134" t="n">
        <x:v>1502</x:v>
      </x:c>
      <x:c r="G49" s="134" t="n">
        <x:v>1</x:v>
      </x:c>
      <x:c r="H49" s="134" t="n">
        <x:v>1989</x:v>
      </x:c>
      <x:c r="I49" s="134" t="n">
        <x:v>934</x:v>
      </x:c>
      <x:c r="J49" s="133" t="n">
        <x:v>62.13683223992502</x:v>
      </x:c>
      <x:c r="K49" s="133" t="n">
        <x:v>62.18375499334221</x:v>
      </x:c>
      <x:c r="L49" s="133" t="n">
        <x:v>62.101063829787236</x:v>
      </x:c>
      <x:c r="M49" s="133" t="n">
        <x:v>62.07627118644068</x:v>
      </x:c>
      <x:c r="N49" s="133" t="n">
        <x:v>62.7906976744186</x:v>
      </x:c>
      <x:c r="O49" s="133" t="n">
        <x:v>62.19512195121951</x:v>
      </x:c>
      <x:c r="P49" s="132" t="n">
        <x:v>45</x:v>
      </x:c>
    </x:row>
    <x:row r="50">
      <x:c r="A50" s="136" t="str">
        <x:v>01033020500</x:v>
      </x:c>
      <x:c r="B50" s="132" t="str">
        <x:v>Colbert County</x:v>
      </x:c>
      <x:c r="C50" s="132" t="n">
        <x:v>1</x:v>
      </x:c>
      <x:c r="D50" s="134" t="n">
        <x:v>5150</x:v>
      </x:c>
      <x:c r="E50" s="133" t="n">
        <x:v>22</x:v>
      </x:c>
      <x:c r="F50" s="134" t="n">
        <x:v>3384</x:v>
      </x:c>
      <x:c r="G50" s="134" t="n">
        <x:v>1</x:v>
      </x:c>
      <x:c r="H50" s="134" t="n">
        <x:v>1406</x:v>
      </x:c>
      <x:c r="I50" s="134" t="n">
        <x:v>924</x:v>
      </x:c>
      <x:c r="J50" s="133" t="n">
        <x:v>27.300970873786408</x:v>
      </x:c>
      <x:c r="K50" s="133" t="n">
        <x:v>27.30496453900709</x:v>
      </x:c>
      <x:c r="L50" s="133" t="n">
        <x:v>27.323420074349443</x:v>
      </x:c>
      <x:c r="M50" s="133" t="n">
        <x:v>27.326732673267326</x:v>
      </x:c>
      <x:c r="N50" s="133" t="n">
        <x:v>27.2</x:v>
      </x:c>
      <x:c r="O50" s="133" t="n">
        <x:v>27.24458204334365</x:v>
      </x:c>
      <x:c r="P50" s="132" t="n">
        <x:v>46</x:v>
      </x:c>
    </x:row>
    <x:row r="51">
      <x:c r="A51" s="136" t="str">
        <x:v>01015001400</x:v>
      </x:c>
      <x:c r="B51" s="132" t="str">
        <x:v>Calhoun County</x:v>
      </x:c>
      <x:c r="C51" s="132" t="n">
        <x:v>1</x:v>
      </x:c>
      <x:c r="D51" s="134" t="n">
        <x:v>3160</x:v>
      </x:c>
      <x:c r="E51" s="133" t="n">
        <x:v>21.6</x:v>
      </x:c>
      <x:c r="F51" s="134" t="n">
        <x:v>1435</x:v>
      </x:c>
      <x:c r="G51" s="134" t="n">
        <x:v>1</x:v>
      </x:c>
      <x:c r="H51" s="134" t="n">
        <x:v>1958</x:v>
      </x:c>
      <x:c r="I51" s="134" t="n">
        <x:v>889</x:v>
      </x:c>
      <x:c r="J51" s="133" t="n">
        <x:v>61.962025316455694</x:v>
      </x:c>
      <x:c r="K51" s="133" t="n">
        <x:v>61.951219512195124</x:v>
      </x:c>
      <x:c r="L51" s="133" t="n">
        <x:v>61.99677938808374</x:v>
      </x:c>
      <x:c r="M51" s="133" t="n">
        <x:v>61.99677938808374</x:v>
      </x:c>
      <x:c r="N51" s="133" t="n">
        <x:v>61.53846153846154</x:v>
      </x:c>
      <x:c r="O51" s="133" t="n">
        <x:v>61.73913043478261</x:v>
      </x:c>
      <x:c r="P51" s="132" t="n">
        <x:v>47</x:v>
      </x:c>
    </x:row>
    <x:row r="52">
      <x:c r="A52" s="136" t="str">
        <x:v>01095030804</x:v>
      </x:c>
      <x:c r="B52" s="132" t="str">
        <x:v>Marshall County</x:v>
      </x:c>
      <x:c r="C52" s="132" t="n">
        <x:v>1</x:v>
      </x:c>
      <x:c r="D52" s="134" t="n">
        <x:v>5732</x:v>
      </x:c>
      <x:c r="E52" s="133" t="n">
        <x:v>34.6</x:v>
      </x:c>
      <x:c r="F52" s="134" t="n">
        <x:v>2076</x:v>
      </x:c>
      <x:c r="G52" s="134" t="n">
        <x:v>1</x:v>
      </x:c>
      <x:c r="H52" s="134" t="n">
        <x:v>2358</x:v>
      </x:c>
      <x:c r="I52" s="134" t="n">
        <x:v>854</x:v>
      </x:c>
      <x:c r="J52" s="133" t="n">
        <x:v>41.137473831123515</x:v>
      </x:c>
      <x:c r="K52" s="133" t="n">
        <x:v>41.13680154142582</x:v>
      </x:c>
      <x:c r="L52" s="133" t="n">
        <x:v>41.127348643006265</x:v>
      </x:c>
      <x:c r="M52" s="133" t="n">
        <x:v>41.090146750524106</x:v>
      </x:c>
      <x:c r="N52" s="133" t="n">
        <x:v>40.963855421686745</x:v>
      </x:c>
      <x:c r="O52" s="133" t="n">
        <x:v>41.24293785310734</x:v>
      </x:c>
      <x:c r="P52" s="132" t="n">
        <x:v>48</x:v>
      </x:c>
    </x:row>
    <x:row r="53">
      <x:c r="A53" s="136" t="str">
        <x:v>01073011112</x:v>
      </x:c>
      <x:c r="B53" s="132" t="str">
        <x:v>Jefferson County</x:v>
      </x:c>
      <x:c r="C53" s="132" t="n">
        <x:v>1</x:v>
      </x:c>
      <x:c r="D53" s="134" t="n">
        <x:v>3987</x:v>
      </x:c>
      <x:c r="E53" s="133" t="n">
        <x:v>33</x:v>
      </x:c>
      <x:c r="F53" s="134" t="n">
        <x:v>2324</x:v>
      </x:c>
      <x:c r="G53" s="134" t="n">
        <x:v>1</x:v>
      </x:c>
      <x:c r="H53" s="134" t="n">
        <x:v>1433</x:v>
      </x:c>
      <x:c r="I53" s="134" t="n">
        <x:v>835</x:v>
      </x:c>
      <x:c r="J53" s="133" t="n">
        <x:v>35.94181088537748</x:v>
      </x:c>
      <x:c r="K53" s="133" t="n">
        <x:v>35.929432013769365</x:v>
      </x:c>
      <x:c r="L53" s="133" t="n">
        <x:v>35.93593593593594</x:v>
      </x:c>
      <x:c r="M53" s="133" t="n">
        <x:v>35.85951940850277</x:v>
      </x:c>
      <x:c r="N53" s="133" t="n">
        <x:v>37.5</x:v>
      </x:c>
      <x:c r="O53" s="133" t="n">
        <x:v>35.92057761732852</x:v>
      </x:c>
      <x:c r="P53" s="132" t="n">
        <x:v>49</x:v>
      </x:c>
    </x:row>
    <x:row r="54">
      <x:c r="A54" s="136" t="str">
        <x:v>01059973000</x:v>
      </x:c>
      <x:c r="B54" s="132" t="str">
        <x:v>Franklin County</x:v>
      </x:c>
      <x:c r="C54" s="132" t="n">
        <x:v>1</x:v>
      </x:c>
      <x:c r="D54" s="134" t="n">
        <x:v>6028</x:v>
      </x:c>
      <x:c r="E54" s="133" t="n">
        <x:v>30.4</x:v>
      </x:c>
      <x:c r="F54" s="134" t="n">
        <x:v>2691</x:v>
      </x:c>
      <x:c r="G54" s="134" t="n">
        <x:v>1</x:v>
      </x:c>
      <x:c r="H54" s="134" t="n">
        <x:v>1850</x:v>
      </x:c>
      <x:c r="I54" s="134" t="n">
        <x:v>826</x:v>
      </x:c>
      <x:c r="J54" s="133" t="n">
        <x:v>30.690112806901126</x:v>
      </x:c>
      <x:c r="K54" s="133" t="n">
        <x:v>30.69490895577852</x:v>
      </x:c>
      <x:c r="L54" s="133" t="n">
        <x:v>30.715811965811966</x:v>
      </x:c>
      <x:c r="M54" s="133" t="n">
        <x:v>30.72429906542056</x:v>
      </x:c>
      <x:c r="N54" s="133" t="n">
        <x:v>30.76923076923077</x:v>
      </x:c>
      <x:c r="O54" s="133" t="n">
        <x:v>30.664652567975832</x:v>
      </x:c>
      <x:c r="P54" s="132" t="n">
        <x:v>50</x:v>
      </x:c>
    </x:row>
    <x:row r="55">
      <x:c r="A55" s="136" t="str">
        <x:v>01121011000</x:v>
      </x:c>
      <x:c r="B55" s="132" t="str">
        <x:v>Talladega County</x:v>
      </x:c>
      <x:c r="C55" s="132" t="n">
        <x:v>1</x:v>
      </x:c>
      <x:c r="D55" s="134" t="n">
        <x:v>2909</x:v>
      </x:c>
      <x:c r="E55" s="133" t="n">
        <x:v>11.3</x:v>
      </x:c>
      <x:c r="F55" s="134" t="n">
        <x:v>1292</x:v>
      </x:c>
      <x:c r="G55" s="134" t="n">
        <x:v>1</x:v>
      </x:c>
      <x:c r="H55" s="134" t="n">
        <x:v>1834</x:v>
      </x:c>
      <x:c r="I55" s="134" t="n">
        <x:v>814</x:v>
      </x:c>
      <x:c r="J55" s="133" t="n">
        <x:v>63.04572017875559</x:v>
      </x:c>
      <x:c r="K55" s="133" t="n">
        <x:v>63.0030959752322</x:v>
      </x:c>
      <x:c r="L55" s="133" t="n">
        <x:v>63.101604278074866</x:v>
      </x:c>
      <x:c r="M55" s="133" t="n">
        <x:v>63.04023845007452</x:v>
      </x:c>
      <x:c r="N55" s="133" t="n">
        <x:v>63.10679611650485</x:v>
      </x:c>
      <x:c r="O55" s="133" t="n">
        <x:v>62.732919254658384</x:v>
      </x:c>
      <x:c r="P55" s="132" t="n">
        <x:v>51</x:v>
      </x:c>
    </x:row>
    <x:row r="56">
      <x:c r="A56" s="136" t="str">
        <x:v>01073013100</x:v>
      </x:c>
      <x:c r="B56" s="132" t="str">
        <x:v>Jefferson County</x:v>
      </x:c>
      <x:c r="C56" s="132" t="n">
        <x:v>1</x:v>
      </x:c>
      <x:c r="D56" s="134" t="n">
        <x:v>3870</x:v>
      </x:c>
      <x:c r="E56" s="133" t="n">
        <x:v>30.8</x:v>
      </x:c>
      <x:c r="F56" s="134" t="n">
        <x:v>1444</x:v>
      </x:c>
      <x:c r="G56" s="134" t="n">
        <x:v>1</x:v>
      </x:c>
      <x:c r="H56" s="134" t="n">
        <x:v>2147</x:v>
      </x:c>
      <x:c r="I56" s="134" t="n">
        <x:v>801</x:v>
      </x:c>
      <x:c r="J56" s="133" t="n">
        <x:v>55.47803617571059</x:v>
      </x:c>
      <x:c r="K56" s="133" t="n">
        <x:v>55.470914127423825</x:v>
      </x:c>
      <x:c r="L56" s="133" t="n">
        <x:v>55.51876379690949</x:v>
      </x:c>
      <x:c r="M56" s="133" t="n">
        <x:v>55.45243619489559</x:v>
      </x:c>
      <x:c r="N56" s="133" t="n">
        <x:v>55.42168674698795</x:v>
      </x:c>
      <x:c r="O56" s="133" t="n">
        <x:v>55.53977272727273</x:v>
      </x:c>
      <x:c r="P56" s="132" t="n">
        <x:v>52</x:v>
      </x:c>
    </x:row>
    <x:row r="57">
      <x:c r="A57" s="136" t="str">
        <x:v>01053970700</x:v>
      </x:c>
      <x:c r="B57" s="132" t="str">
        <x:v>Escambia County</x:v>
      </x:c>
      <x:c r="C57" s="132" t="n">
        <x:v>1</x:v>
      </x:c>
      <x:c r="D57" s="134" t="n">
        <x:v>3686</x:v>
      </x:c>
      <x:c r="E57" s="133" t="n">
        <x:v>21.5</x:v>
      </x:c>
      <x:c r="F57" s="134" t="n">
        <x:v>2160</x:v>
      </x:c>
      <x:c r="G57" s="134" t="n">
        <x:v>1</x:v>
      </x:c>
      <x:c r="H57" s="134" t="n">
        <x:v>1363</x:v>
      </x:c>
      <x:c r="I57" s="134" t="n">
        <x:v>799</x:v>
      </x:c>
      <x:c r="J57" s="133" t="n">
        <x:v>36.977753662506785</x:v>
      </x:c>
      <x:c r="K57" s="133" t="n">
        <x:v>36.99074074074074</x:v>
      </x:c>
      <x:c r="L57" s="133" t="n">
        <x:v>37.032710280373834</x:v>
      </x:c>
      <x:c r="M57" s="133" t="n">
        <x:v>36.95380774032459</x:v>
      </x:c>
      <x:c r="N57" s="133" t="n">
        <x:v>35.483870967741936</x:v>
      </x:c>
      <x:c r="O57" s="133" t="n">
        <x:v>37.254901960784316</x:v>
      </x:c>
      <x:c r="P57" s="132" t="n">
        <x:v>53</x:v>
      </x:c>
    </x:row>
    <x:row r="58">
      <x:c r="A58" s="136" t="str">
        <x:v>01073010001</x:v>
      </x:c>
      <x:c r="B58" s="132" t="str">
        <x:v>Jefferson County</x:v>
      </x:c>
      <x:c r="C58" s="132" t="n">
        <x:v>1</x:v>
      </x:c>
      <x:c r="D58" s="134" t="n">
        <x:v>5681</x:v>
      </x:c>
      <x:c r="E58" s="133" t="n">
        <x:v>31</x:v>
      </x:c>
      <x:c r="F58" s="134" t="n">
        <x:v>2264</x:v>
      </x:c>
      <x:c r="G58" s="134" t="n">
        <x:v>1</x:v>
      </x:c>
      <x:c r="H58" s="134" t="n">
        <x:v>1990</x:v>
      </x:c>
      <x:c r="I58" s="134" t="n">
        <x:v>793</x:v>
      </x:c>
      <x:c r="J58" s="133" t="n">
        <x:v>35.02904418236226</x:v>
      </x:c>
      <x:c r="K58" s="133" t="n">
        <x:v>35.02650176678445</x:v>
      </x:c>
      <x:c r="L58" s="133" t="n">
        <x:v>35.039653929343906</x:v>
      </x:c>
      <x:c r="M58" s="133" t="n">
        <x:v>35</x:v>
      </x:c>
      <x:c r="N58" s="133" t="n">
        <x:v>35.416666666666664</x:v>
      </x:c>
      <x:c r="O58" s="133" t="n">
        <x:v>35.031847133757964</x:v>
      </x:c>
      <x:c r="P58" s="132" t="n">
        <x:v>54</x:v>
      </x:c>
    </x:row>
    <x:row r="59">
      <x:c r="A59" s="136" t="str">
        <x:v>01097003405</x:v>
      </x:c>
      <x:c r="B59" s="132" t="str">
        <x:v>Mobile County</x:v>
      </x:c>
      <x:c r="C59" s="132" t="n">
        <x:v>1</x:v>
      </x:c>
      <x:c r="D59" s="134" t="n">
        <x:v>1941</x:v>
      </x:c>
      <x:c r="E59" s="133" t="n">
        <x:v>28.9</x:v>
      </x:c>
      <x:c r="F59" s="134" t="n">
        <x:v>1450</x:v>
      </x:c>
      <x:c r="G59" s="134" t="n">
        <x:v>1</x:v>
      </x:c>
      <x:c r="H59" s="134" t="n">
        <x:v>974</x:v>
      </x:c>
      <x:c r="I59" s="134" t="n">
        <x:v>728</x:v>
      </x:c>
      <x:c r="J59" s="133" t="n">
        <x:v>50.180319422977846</x:v>
      </x:c>
      <x:c r="K59" s="133" t="n">
        <x:v>50.206896551724135</x:v>
      </x:c>
      <x:c r="L59" s="133" t="n">
        <x:v>50.23474178403756</x:v>
      </x:c>
      <x:c r="M59" s="133" t="n">
        <x:v>50.13262599469496</x:v>
      </x:c>
      <x:c r="N59" s="133" t="n">
        <x:v>50</x:v>
      </x:c>
      <x:c r="O59" s="133" t="n">
        <x:v>50.40650406504065</x:v>
      </x:c>
      <x:c r="P59" s="132" t="n">
        <x:v>55</x:v>
      </x:c>
    </x:row>
    <x:row r="60">
      <x:c r="A60" s="136" t="str">
        <x:v>01003010711</x:v>
      </x:c>
      <x:c r="B60" s="132" t="str">
        <x:v>Baldwin County</x:v>
      </x:c>
      <x:c r="C60" s="132" t="n">
        <x:v>1</x:v>
      </x:c>
      <x:c r="D60" s="134" t="n">
        <x:v>4230</x:v>
      </x:c>
      <x:c r="E60" s="133" t="n">
        <x:v>2.6</x:v>
      </x:c>
      <x:c r="F60" s="134" t="n">
        <x:v>3511</x:v>
      </x:c>
      <x:c r="G60" s="134" t="n">
        <x:v>1</x:v>
      </x:c>
      <x:c r="H60" s="134" t="n">
        <x:v>873</x:v>
      </x:c>
      <x:c r="I60" s="134" t="n">
        <x:v>724</x:v>
      </x:c>
      <x:c r="J60" s="133" t="n">
        <x:v>20.638297872340427</x:v>
      </x:c>
      <x:c r="K60" s="133" t="n">
        <x:v>20.62090572486471</x:v>
      </x:c>
      <x:c r="L60" s="133" t="n">
        <x:v>20.58823529411765</x:v>
      </x:c>
      <x:c r="M60" s="133" t="n">
        <x:v>20.630749014454665</x:v>
      </x:c>
      <x:c r="N60" s="133" t="n">
        <x:v>20.58823529411765</x:v>
      </x:c>
      <x:c r="O60" s="133" t="n">
        <x:v>20.952380952380953</x:v>
      </x:c>
      <x:c r="P60" s="132" t="n">
        <x:v>56</x:v>
      </x:c>
    </x:row>
    <x:row r="61">
      <x:c r="A61" s="136" t="str">
        <x:v>01073011205</x:v>
      </x:c>
      <x:c r="B61" s="132" t="str">
        <x:v>Jefferson County</x:v>
      </x:c>
      <x:c r="C61" s="132" t="n">
        <x:v>1</x:v>
      </x:c>
      <x:c r="D61" s="134" t="n">
        <x:v>2172</x:v>
      </x:c>
      <x:c r="E61" s="133" t="n">
        <x:v>21.2</x:v>
      </x:c>
      <x:c r="F61" s="134" t="n">
        <x:v>1242</x:v>
      </x:c>
      <x:c r="G61" s="134" t="n">
        <x:v>1</x:v>
      </x:c>
      <x:c r="H61" s="134" t="n">
        <x:v>1243</x:v>
      </x:c>
      <x:c r="I61" s="134" t="n">
        <x:v>711</x:v>
      </x:c>
      <x:c r="J61" s="133" t="n">
        <x:v>57.22836095764273</x:v>
      </x:c>
      <x:c r="K61" s="133" t="n">
        <x:v>57.2463768115942</x:v>
      </x:c>
      <x:c r="L61" s="133" t="n">
        <x:v>57.333333333333336</x:v>
      </x:c>
      <x:c r="M61" s="133" t="n">
        <x:v>57.30858468677494</x:v>
      </x:c>
      <x:c r="N61" s="133" t="n">
        <x:v>60</x:v>
      </x:c>
      <x:c r="O61" s="133" t="n">
        <x:v>57.25190839694657</x:v>
      </x:c>
      <x:c r="P61" s="132" t="n">
        <x:v>57</x:v>
      </x:c>
    </x:row>
    <x:row r="62">
      <x:c r="A62" s="136" t="str">
        <x:v>01073005907</x:v>
      </x:c>
      <x:c r="B62" s="132" t="str">
        <x:v>Jefferson County</x:v>
      </x:c>
      <x:c r="C62" s="132" t="n">
        <x:v>1</x:v>
      </x:c>
      <x:c r="D62" s="134" t="n">
        <x:v>2060</x:v>
      </x:c>
      <x:c r="E62" s="133" t="n">
        <x:v>38.3</x:v>
      </x:c>
      <x:c r="F62" s="134" t="n">
        <x:v>1429</x:v>
      </x:c>
      <x:c r="G62" s="134" t="n">
        <x:v>1</x:v>
      </x:c>
      <x:c r="H62" s="134" t="n">
        <x:v>990</x:v>
      </x:c>
      <x:c r="I62" s="134" t="n">
        <x:v>686</x:v>
      </x:c>
      <x:c r="J62" s="133" t="n">
        <x:v>48.05825242718446</x:v>
      </x:c>
      <x:c r="K62" s="133" t="n">
        <x:v>48.00559832050385</x:v>
      </x:c>
      <x:c r="L62" s="133" t="n">
        <x:v>48.067632850241544</x:v>
      </x:c>
      <x:c r="M62" s="133" t="n">
        <x:v>48.0225988700565</x:v>
      </x:c>
      <x:c r="N62" s="133" t="n">
        <x:v>45.45454545454545</x:v>
      </x:c>
      <x:c r="O62" s="133" t="n">
        <x:v>48.148148148148145</x:v>
      </x:c>
      <x:c r="P62" s="132" t="n">
        <x:v>58</x:v>
      </x:c>
    </x:row>
    <x:row r="63">
      <x:c r="A63" s="136" t="str">
        <x:v>01073014301</x:v>
      </x:c>
      <x:c r="B63" s="132" t="str">
        <x:v>Jefferson County</x:v>
      </x:c>
      <x:c r="C63" s="132" t="n">
        <x:v>1</x:v>
      </x:c>
      <x:c r="D63" s="134" t="n">
        <x:v>3014</x:v>
      </x:c>
      <x:c r="E63" s="133" t="n">
        <x:v>14.7</x:v>
      </x:c>
      <x:c r="F63" s="134" t="n">
        <x:v>1888</x:v>
      </x:c>
      <x:c r="G63" s="134" t="n">
        <x:v>1</x:v>
      </x:c>
      <x:c r="H63" s="134" t="n">
        <x:v>1091</x:v>
      </x:c>
      <x:c r="I63" s="134" t="n">
        <x:v>683</x:v>
      </x:c>
      <x:c r="J63" s="133" t="n">
        <x:v>36.197743861977436</x:v>
      </x:c>
      <x:c r="K63" s="133" t="n">
        <x:v>36.17584745762712</x:v>
      </x:c>
      <x:c r="L63" s="133" t="n">
        <x:v>36.13933236574746</x:v>
      </x:c>
      <x:c r="M63" s="133" t="n">
        <x:v>36.2095531587057</x:v>
      </x:c>
      <x:c r="N63" s="133" t="n">
        <x:v>35.78947368421053</x:v>
      </x:c>
      <x:c r="O63" s="133" t="n">
        <x:v>36.434108527131784</x:v>
      </x:c>
      <x:c r="P63" s="132" t="n">
        <x:v>59</x:v>
      </x:c>
    </x:row>
    <x:row r="64">
      <x:c r="A64" s="136" t="str">
        <x:v>01125012600</x:v>
      </x:c>
      <x:c r="B64" s="132" t="str">
        <x:v>Tuscaloosa County</x:v>
      </x:c>
      <x:c r="C64" s="132" t="n">
        <x:v>1</x:v>
      </x:c>
      <x:c r="D64" s="134" t="n">
        <x:v>2427</x:v>
      </x:c>
      <x:c r="E64" s="133" t="n">
        <x:v>39.2</x:v>
      </x:c>
      <x:c r="F64" s="134" t="n">
        <x:v>833</x:v>
      </x:c>
      <x:c r="G64" s="134" t="n">
        <x:v>1</x:v>
      </x:c>
      <x:c r="H64" s="134" t="n">
        <x:v>1986</x:v>
      </x:c>
      <x:c r="I64" s="134" t="n">
        <x:v>682</x:v>
      </x:c>
      <x:c r="J64" s="133" t="n">
        <x:v>81.82941903584673</x:v>
      </x:c>
      <x:c r="K64" s="133" t="n">
        <x:v>81.87274909963986</x:v>
      </x:c>
      <x:c r="L64" s="133" t="n">
        <x:v>81.71206225680933</x:v>
      </x:c>
      <x:c r="M64" s="133" t="n">
        <x:v>81.81818181818181</x:v>
      </x:c>
      <x:c r="N64" s="133" t="n">
        <x:v>81.03448275862068</x:v>
      </x:c>
      <x:c r="O64" s="133" t="n">
        <x:v>82.43243243243244</x:v>
      </x:c>
      <x:c r="P64" s="132" t="n">
        <x:v>60</x:v>
      </x:c>
    </x:row>
    <x:row r="65">
      <x:c r="A65" s="136" t="str">
        <x:v>01097003710</x:v>
      </x:c>
      <x:c r="B65" s="132" t="str">
        <x:v>Mobile County</x:v>
      </x:c>
      <x:c r="C65" s="132" t="n">
        <x:v>1</x:v>
      </x:c>
      <x:c r="D65" s="134" t="n">
        <x:v>4217</x:v>
      </x:c>
      <x:c r="E65" s="133" t="n">
        <x:v>11.1</x:v>
      </x:c>
      <x:c r="F65" s="134" t="n">
        <x:v>2413</x:v>
      </x:c>
      <x:c r="G65" s="134" t="n">
        <x:v>1</x:v>
      </x:c>
      <x:c r="H65" s="134" t="n">
        <x:v>1148</x:v>
      </x:c>
      <x:c r="I65" s="134" t="n">
        <x:v>657</x:v>
      </x:c>
      <x:c r="J65" s="133" t="n">
        <x:v>27.223144415461228</x:v>
      </x:c>
      <x:c r="K65" s="133" t="n">
        <x:v>27.22751761292996</x:v>
      </x:c>
      <x:c r="L65" s="133" t="n">
        <x:v>27.195121951219512</x:v>
      </x:c>
      <x:c r="M65" s="133" t="n">
        <x:v>27.182539682539684</x:v>
      </x:c>
      <x:c r="N65" s="133" t="n">
        <x:v>27.142857142857142</x:v>
      </x:c>
      <x:c r="O65" s="133" t="n">
        <x:v>27.17391304347826</x:v>
      </x:c>
      <x:c r="P65" s="132" t="n">
        <x:v>61</x:v>
      </x:c>
    </x:row>
    <x:row r="66">
      <x:c r="A66" s="136" t="str">
        <x:v>01097001800</x:v>
      </x:c>
      <x:c r="B66" s="132" t="str">
        <x:v>Mobile County</x:v>
      </x:c>
      <x:c r="C66" s="132" t="n">
        <x:v>1</x:v>
      </x:c>
      <x:c r="D66" s="134" t="n">
        <x:v>2340</x:v>
      </x:c>
      <x:c r="E66" s="133" t="n">
        <x:v>20</x:v>
      </x:c>
      <x:c r="F66" s="134" t="n">
        <x:v>995</x:v>
      </x:c>
      <x:c r="G66" s="134" t="n">
        <x:v>1</x:v>
      </x:c>
      <x:c r="H66" s="134" t="n">
        <x:v>1463</x:v>
      </x:c>
      <x:c r="I66" s="134" t="n">
        <x:v>622</x:v>
      </x:c>
      <x:c r="J66" s="133" t="n">
        <x:v>62.52136752136752</x:v>
      </x:c>
      <x:c r="K66" s="133" t="n">
        <x:v>62.51256281407035</x:v>
      </x:c>
      <x:c r="L66" s="133" t="n">
        <x:v>62.563237774030355</x:v>
      </x:c>
      <x:c r="M66" s="133" t="n">
        <x:v>62.634408602150536</x:v>
      </x:c>
      <x:c r="N66" s="133" t="n">
        <x:v>62.22222222222222</x:v>
      </x:c>
      <x:c r="O66" s="133" t="n">
        <x:v>62.5</x:v>
      </x:c>
      <x:c r="P66" s="132" t="n">
        <x:v>62</x:v>
      </x:c>
    </x:row>
    <x:row r="67">
      <x:c r="A67" s="136" t="str">
        <x:v>01073001100</x:v>
      </x:c>
      <x:c r="B67" s="132" t="str">
        <x:v>Jefferson County</x:v>
      </x:c>
      <x:c r="C67" s="132" t="n">
        <x:v>1</x:v>
      </x:c>
      <x:c r="D67" s="134" t="n">
        <x:v>4420</x:v>
      </x:c>
      <x:c r="E67" s="133" t="n">
        <x:v>27</x:v>
      </x:c>
      <x:c r="F67" s="134" t="n">
        <x:v>2243</x:v>
      </x:c>
      <x:c r="G67" s="134" t="n">
        <x:v>1</x:v>
      </x:c>
      <x:c r="H67" s="134" t="n">
        <x:v>1209</x:v>
      </x:c>
      <x:c r="I67" s="134" t="n">
        <x:v>614</x:v>
      </x:c>
      <x:c r="J67" s="133" t="n">
        <x:v>27.352941176470587</x:v>
      </x:c>
      <x:c r="K67" s="133" t="n">
        <x:v>27.374052608114134</x:v>
      </x:c>
      <x:c r="L67" s="133" t="n">
        <x:v>27.335984095427435</x:v>
      </x:c>
      <x:c r="M67" s="133" t="n">
        <x:v>27.390900649953576</x:v>
      </x:c>
      <x:c r="N67" s="133" t="n">
        <x:v>27.464788732394368</x:v>
      </x:c>
      <x:c r="O67" s="133" t="n">
        <x:v>27.32919254658385</x:v>
      </x:c>
      <x:c r="P67" s="132" t="n">
        <x:v>63</x:v>
      </x:c>
    </x:row>
    <x:row r="68">
      <x:c r="A68" s="136" t="str">
        <x:v>01073011803</x:v>
      </x:c>
      <x:c r="B68" s="132" t="str">
        <x:v>Jefferson County</x:v>
      </x:c>
      <x:c r="C68" s="132" t="n">
        <x:v>1</x:v>
      </x:c>
      <x:c r="D68" s="134" t="n">
        <x:v>4902</x:v>
      </x:c>
      <x:c r="E68" s="133" t="n">
        <x:v>9</x:v>
      </x:c>
      <x:c r="F68" s="134" t="n">
        <x:v>2372</x:v>
      </x:c>
      <x:c r="G68" s="134" t="n">
        <x:v>1</x:v>
      </x:c>
      <x:c r="H68" s="134" t="n">
        <x:v>1263</x:v>
      </x:c>
      <x:c r="I68" s="134" t="n">
        <x:v>611</x:v>
      </x:c>
      <x:c r="J68" s="133" t="n">
        <x:v>25.76499388004896</x:v>
      </x:c>
      <x:c r="K68" s="133" t="n">
        <x:v>25.75885328836425</x:v>
      </x:c>
      <x:c r="L68" s="133" t="n">
        <x:v>25.741935483870968</x:v>
      </x:c>
      <x:c r="M68" s="133" t="n">
        <x:v>25.847457627118644</x:v>
      </x:c>
      <x:c r="N68" s="133" t="n">
        <x:v>27.027027027027028</x:v>
      </x:c>
      <x:c r="O68" s="133" t="n">
        <x:v>25.870646766169155</x:v>
      </x:c>
      <x:c r="P68" s="132" t="n">
        <x:v>64</x:v>
      </x:c>
    </x:row>
    <x:row r="69">
      <x:c r="A69" s="136" t="str">
        <x:v>01125012700</x:v>
      </x:c>
      <x:c r="B69" s="132" t="str">
        <x:v>Tuscaloosa County</x:v>
      </x:c>
      <x:c r="C69" s="132" t="n">
        <x:v>1</x:v>
      </x:c>
      <x:c r="D69" s="134" t="n">
        <x:v>4227</x:v>
      </x:c>
      <x:c r="E69" s="133" t="n">
        <x:v>26.3</x:v>
      </x:c>
      <x:c r="F69" s="134" t="n">
        <x:v>2811</x:v>
      </x:c>
      <x:c r="G69" s="134" t="n">
        <x:v>1</x:v>
      </x:c>
      <x:c r="H69" s="134" t="n">
        <x:v>906</x:v>
      </x:c>
      <x:c r="I69" s="134" t="n">
        <x:v>603</x:v>
      </x:c>
      <x:c r="J69" s="133" t="n">
        <x:v>21.433640880056778</x:v>
      </x:c>
      <x:c r="K69" s="133" t="n">
        <x:v>21.451440768409817</x:v>
      </x:c>
      <x:c r="L69" s="133" t="n">
        <x:v>21.473158551810236</x:v>
      </x:c>
      <x:c r="M69" s="133" t="n">
        <x:v>21.3768115942029</x:v>
      </x:c>
      <x:c r="N69" s="133" t="n">
        <x:v>21.59090909090909</x:v>
      </x:c>
      <x:c r="O69" s="133" t="n">
        <x:v>21.323529411764707</x:v>
      </x:c>
      <x:c r="P69" s="132" t="n">
        <x:v>65</x:v>
      </x:c>
    </x:row>
    <x:row r="70">
      <x:c r="A70" s="136" t="str">
        <x:v>01101005301</x:v>
      </x:c>
      <x:c r="B70" s="132" t="str">
        <x:v>Montgomery County</x:v>
      </x:c>
      <x:c r="C70" s="132" t="n">
        <x:v>1</x:v>
      </x:c>
      <x:c r="D70" s="134" t="n">
        <x:v>1154</x:v>
      </x:c>
      <x:c r="E70" s="133" t="n">
        <x:v>2.5</x:v>
      </x:c>
      <x:c r="F70" s="134" t="n">
        <x:v>612</x:v>
      </x:c>
      <x:c r="G70" s="134" t="n">
        <x:v>1</x:v>
      </x:c>
      <x:c r="H70" s="134" t="n">
        <x:v>1133</x:v>
      </x:c>
      <x:c r="I70" s="134" t="n">
        <x:v>601</x:v>
      </x:c>
      <x:c r="J70" s="133" t="n">
        <x:v>98.18024263431542</x:v>
      </x:c>
      <x:c r="K70" s="133" t="n">
        <x:v>98.20261437908496</x:v>
      </x:c>
      <x:c r="L70" s="133" t="n">
        <x:v>98.14814814814815</x:v>
      </x:c>
      <x:c r="M70" s="133" t="n">
        <x:v>100</x:v>
      </x:c>
      <x:c r="N70" s="133"/>
      <x:c r="O70" s="133" t="n">
        <x:v>100</x:v>
      </x:c>
      <x:c r="P70" s="132" t="n">
        <x:v>66</x:v>
      </x:c>
    </x:row>
    <x:row r="71">
      <x:c r="A71" s="136" t="str">
        <x:v>01015002105</x:v>
      </x:c>
      <x:c r="B71" s="132" t="str">
        <x:v>Calhoun County</x:v>
      </x:c>
      <x:c r="C71" s="132" t="n">
        <x:v>1</x:v>
      </x:c>
      <x:c r="D71" s="134" t="n">
        <x:v>2887</x:v>
      </x:c>
      <x:c r="E71" s="133" t="n">
        <x:v>20.9</x:v>
      </x:c>
      <x:c r="F71" s="134" t="n">
        <x:v>1717</x:v>
      </x:c>
      <x:c r="G71" s="134" t="n">
        <x:v>1</x:v>
      </x:c>
      <x:c r="H71" s="134" t="n">
        <x:v>996</x:v>
      </x:c>
      <x:c r="I71" s="134" t="n">
        <x:v>592</x:v>
      </x:c>
      <x:c r="J71" s="133" t="n">
        <x:v>34.49948042951161</x:v>
      </x:c>
      <x:c r="K71" s="133" t="n">
        <x:v>34.47874199184624</x:v>
      </x:c>
      <x:c r="L71" s="133" t="n">
        <x:v>34.52566096423017</x:v>
      </x:c>
      <x:c r="M71" s="133" t="n">
        <x:v>34.54106280193237</x:v>
      </x:c>
      <x:c r="N71" s="133" t="n">
        <x:v>34.61538461538461</x:v>
      </x:c>
      <x:c r="O71" s="133" t="n">
        <x:v>34.46969696969697</x:v>
      </x:c>
      <x:c r="P71" s="132" t="n">
        <x:v>67</x:v>
      </x:c>
    </x:row>
    <x:row r="72">
      <x:c r="A72" s="136" t="str">
        <x:v>01081042006</x:v>
      </x:c>
      <x:c r="B72" s="132" t="str">
        <x:v>Lee County</x:v>
      </x:c>
      <x:c r="C72" s="132" t="n">
        <x:v>1</x:v>
      </x:c>
      <x:c r="D72" s="134" t="n">
        <x:v>1827</x:v>
      </x:c>
      <x:c r="E72" s="133" t="n">
        <x:v>23.6</x:v>
      </x:c>
      <x:c r="F72" s="134" t="n">
        <x:v>1064</x:v>
      </x:c>
      <x:c r="G72" s="134" t="n">
        <x:v>1</x:v>
      </x:c>
      <x:c r="H72" s="134" t="n">
        <x:v>1011</x:v>
      </x:c>
      <x:c r="I72" s="134" t="n">
        <x:v>589</x:v>
      </x:c>
      <x:c r="J72" s="133" t="n">
        <x:v>55.33661740558292</x:v>
      </x:c>
      <x:c r="K72" s="133" t="n">
        <x:v>55.357142857142854</x:v>
      </x:c>
      <x:c r="L72" s="133" t="n">
        <x:v>55.36159600997506</x:v>
      </x:c>
      <x:c r="M72" s="133" t="n">
        <x:v>55.30085959885387</x:v>
      </x:c>
      <x:c r="N72" s="133" t="n">
        <x:v>54.285714285714285</x:v>
      </x:c>
      <x:c r="O72" s="133" t="n">
        <x:v>55.68181818181818</x:v>
      </x:c>
      <x:c r="P72" s="132" t="n">
        <x:v>68</x:v>
      </x:c>
    </x:row>
    <x:row r="73">
      <x:c r="A73" s="136" t="str">
        <x:v>01001020700</x:v>
      </x:c>
      <x:c r="B73" s="132" t="str">
        <x:v>Autauga County</x:v>
      </x:c>
      <x:c r="C73" s="132" t="n">
        <x:v>1</x:v>
      </x:c>
      <x:c r="D73" s="134" t="n">
        <x:v>3409</x:v>
      </x:c>
      <x:c r="E73" s="133" t="n">
        <x:v>21.1</x:v>
      </x:c>
      <x:c r="F73" s="134" t="n">
        <x:v>1448</x:v>
      </x:c>
      <x:c r="G73" s="134" t="n">
        <x:v>1</x:v>
      </x:c>
      <x:c r="H73" s="134" t="n">
        <x:v>1307</x:v>
      </x:c>
      <x:c r="I73" s="134" t="n">
        <x:v>555</x:v>
      </x:c>
      <x:c r="J73" s="133" t="n">
        <x:v>38.33968905837489</x:v>
      </x:c>
      <x:c r="K73" s="133" t="n">
        <x:v>38.328729281767956</x:v>
      </x:c>
      <x:c r="L73" s="133" t="n">
        <x:v>38.35946924004825</x:v>
      </x:c>
      <x:c r="M73" s="133" t="n">
        <x:v>38.31578947368421</x:v>
      </x:c>
      <x:c r="N73" s="133" t="n">
        <x:v>38.095238095238095</x:v>
      </x:c>
      <x:c r="O73" s="133" t="n">
        <x:v>38.16793893129771</x:v>
      </x:c>
      <x:c r="P73" s="132" t="n">
        <x:v>69</x:v>
      </x:c>
    </x:row>
    <x:row r="74">
      <x:c r="A74" s="136" t="str">
        <x:v>01113030403</x:v>
      </x:c>
      <x:c r="B74" s="132" t="str">
        <x:v>Russell County</x:v>
      </x:c>
      <x:c r="C74" s="132" t="n">
        <x:v>1</x:v>
      </x:c>
      <x:c r="D74" s="134" t="n">
        <x:v>3601</x:v>
      </x:c>
      <x:c r="E74" s="133" t="n">
        <x:v>35.3</x:v>
      </x:c>
      <x:c r="F74" s="134" t="n">
        <x:v>2437</x:v>
      </x:c>
      <x:c r="G74" s="134" t="n">
        <x:v>1</x:v>
      </x:c>
      <x:c r="H74" s="134" t="n">
        <x:v>818</x:v>
      </x:c>
      <x:c r="I74" s="134" t="n">
        <x:v>554</x:v>
      </x:c>
      <x:c r="J74" s="133" t="n">
        <x:v>22.71591224659817</x:v>
      </x:c>
      <x:c r="K74" s="133" t="n">
        <x:v>22.73286828067296</x:v>
      </x:c>
      <x:c r="L74" s="133" t="n">
        <x:v>22.744599745870392</x:v>
      </x:c>
      <x:c r="M74" s="133" t="n">
        <x:v>22.706766917293233</x:v>
      </x:c>
      <x:c r="N74" s="133"/>
      <x:c r="O74" s="133" t="n">
        <x:v>22.48803827751196</x:v>
      </x:c>
      <x:c r="P74" s="132" t="n">
        <x:v>70</x:v>
      </x:c>
    </x:row>
    <x:row r="75">
      <x:c r="A75" s="136" t="str">
        <x:v>01089000501</x:v>
      </x:c>
      <x:c r="B75" s="132" t="str">
        <x:v>Madison County</x:v>
      </x:c>
      <x:c r="C75" s="132" t="n">
        <x:v>1</x:v>
      </x:c>
      <x:c r="D75" s="134" t="n">
        <x:v>1909</x:v>
      </x:c>
      <x:c r="E75" s="133" t="n">
        <x:v>26.5</x:v>
      </x:c>
      <x:c r="F75" s="134" t="n">
        <x:v>1510</x:v>
      </x:c>
      <x:c r="G75" s="134" t="n">
        <x:v>1</x:v>
      </x:c>
      <x:c r="H75" s="134" t="n">
        <x:v>680</x:v>
      </x:c>
      <x:c r="I75" s="134" t="n">
        <x:v>538</x:v>
      </x:c>
      <x:c r="J75" s="133" t="n">
        <x:v>35.620743844945</x:v>
      </x:c>
      <x:c r="K75" s="133" t="n">
        <x:v>35.629139072847686</x:v>
      </x:c>
      <x:c r="L75" s="133" t="n">
        <x:v>35.622317596566525</x:v>
      </x:c>
      <x:c r="M75" s="133" t="n">
        <x:v>35.58282208588957</x:v>
      </x:c>
      <x:c r="N75" s="133" t="n">
        <x:v>36.36363636363637</x:v>
      </x:c>
      <x:c r="O75" s="133" t="n">
        <x:v>35.57046979865772</x:v>
      </x:c>
      <x:c r="P75" s="132" t="n">
        <x:v>71</x:v>
      </x:c>
    </x:row>
    <x:row r="76">
      <x:c r="A76" s="136" t="str">
        <x:v>01071950400</x:v>
      </x:c>
      <x:c r="B76" s="132" t="str">
        <x:v>Jackson County</x:v>
      </x:c>
      <x:c r="C76" s="132" t="n">
        <x:v>0</x:v>
      </x:c>
      <x:c r="D76" s="134" t="n">
        <x:v>1987</x:v>
      </x:c>
      <x:c r="E76" s="133" t="n">
        <x:v>23.9</x:v>
      </x:c>
      <x:c r="F76" s="134" t="n">
        <x:v>1330</x:v>
      </x:c>
      <x:c r="G76" s="134" t="n">
        <x:v>1</x:v>
      </x:c>
      <x:c r="H76" s="134" t="n">
        <x:v>789</x:v>
      </x:c>
      <x:c r="I76" s="134" t="n">
        <x:v>528</x:v>
      </x:c>
      <x:c r="J76" s="133" t="n">
        <x:v>39.7081026673377</x:v>
      </x:c>
      <x:c r="K76" s="133" t="n">
        <x:v>39.69924812030075</x:v>
      </x:c>
      <x:c r="L76" s="133" t="n">
        <x:v>39.577836411609496</x:v>
      </x:c>
      <x:c r="M76" s="133" t="n">
        <x:v>39.671361502347416</x:v>
      </x:c>
      <x:c r="N76" s="133" t="n">
        <x:v>40</x:v>
      </x:c>
      <x:c r="O76" s="133" t="n">
        <x:v>40.20618556701031</x:v>
      </x:c>
      <x:c r="P76" s="132" t="n">
        <x:v>72</x:v>
      </x:c>
    </x:row>
    <x:row r="77">
      <x:c r="A77" s="136" t="str">
        <x:v>01081041300</x:v>
      </x:c>
      <x:c r="B77" s="132" t="str">
        <x:v>Lee County</x:v>
      </x:c>
      <x:c r="C77" s="132" t="n">
        <x:v>1</x:v>
      </x:c>
      <x:c r="D77" s="134" t="n">
        <x:v>3353</x:v>
      </x:c>
      <x:c r="E77" s="133" t="n">
        <x:v>27</x:v>
      </x:c>
      <x:c r="F77" s="134" t="n">
        <x:v>1743</x:v>
      </x:c>
      <x:c r="G77" s="134" t="n">
        <x:v>1</x:v>
      </x:c>
      <x:c r="H77" s="134" t="n">
        <x:v>990</x:v>
      </x:c>
      <x:c r="I77" s="134" t="n">
        <x:v>515</x:v>
      </x:c>
      <x:c r="J77" s="133" t="n">
        <x:v>29.525797793021177</x:v>
      </x:c>
      <x:c r="K77" s="133" t="n">
        <x:v>29.546758462421113</x:v>
      </x:c>
      <x:c r="L77" s="133" t="n">
        <x:v>29.517241379310345</x:v>
      </x:c>
      <x:c r="M77" s="133" t="n">
        <x:v>29.455081001472752</x:v>
      </x:c>
      <x:c r="N77" s="133" t="n">
        <x:v>29.365079365079364</x:v>
      </x:c>
      <x:c r="O77" s="133" t="n">
        <x:v>29.657794676806084</x:v>
      </x:c>
      <x:c r="P77" s="132" t="n">
        <x:v>73</x:v>
      </x:c>
    </x:row>
    <x:row r="78">
      <x:c r="A78" s="136" t="str">
        <x:v>01113030500</x:v>
      </x:c>
      <x:c r="B78" s="132" t="str">
        <x:v>Russell County</x:v>
      </x:c>
      <x:c r="C78" s="132" t="n">
        <x:v>1</x:v>
      </x:c>
      <x:c r="D78" s="134" t="n">
        <x:v>2367</x:v>
      </x:c>
      <x:c r="E78" s="133" t="n">
        <x:v>20</x:v>
      </x:c>
      <x:c r="F78" s="134" t="n">
        <x:v>1429</x:v>
      </x:c>
      <x:c r="G78" s="134" t="n">
        <x:v>1</x:v>
      </x:c>
      <x:c r="H78" s="134" t="n">
        <x:v>847</x:v>
      </x:c>
      <x:c r="I78" s="134" t="n">
        <x:v>511</x:v>
      </x:c>
      <x:c r="J78" s="133" t="n">
        <x:v>35.783692437684834</x:v>
      </x:c>
      <x:c r="K78" s="133" t="n">
        <x:v>35.7592722183345</x:v>
      </x:c>
      <x:c r="L78" s="133" t="n">
        <x:v>35.77817531305904</x:v>
      </x:c>
      <x:c r="M78" s="133" t="n">
        <x:v>35.76470588235294</x:v>
      </x:c>
      <x:c r="N78" s="133" t="n">
        <x:v>36.36363636363637</x:v>
      </x:c>
      <x:c r="O78" s="133" t="n">
        <x:v>35.88516746411483</x:v>
      </x:c>
      <x:c r="P78" s="132" t="n">
        <x:v>74</x:v>
      </x:c>
    </x:row>
    <x:row r="79">
      <x:c r="A79" s="136" t="str">
        <x:v>01081041600</x:v>
      </x:c>
      <x:c r="B79" s="132" t="str">
        <x:v>Lee County</x:v>
      </x:c>
      <x:c r="C79" s="132" t="n">
        <x:v>1</x:v>
      </x:c>
      <x:c r="D79" s="134" t="n">
        <x:v>3573</x:v>
      </x:c>
      <x:c r="E79" s="133" t="n">
        <x:v>37.3</x:v>
      </x:c>
      <x:c r="F79" s="134" t="n">
        <x:v>1416</x:v>
      </x:c>
      <x:c r="G79" s="134" t="n">
        <x:v>1</x:v>
      </x:c>
      <x:c r="H79" s="134" t="n">
        <x:v>1285</x:v>
      </x:c>
      <x:c r="I79" s="134" t="n">
        <x:v>509</x:v>
      </x:c>
      <x:c r="J79" s="133" t="n">
        <x:v>35.964175762664425</x:v>
      </x:c>
      <x:c r="K79" s="133" t="n">
        <x:v>35.94632768361582</x:v>
      </x:c>
      <x:c r="L79" s="133" t="n">
        <x:v>35.969664138678226</x:v>
      </x:c>
      <x:c r="M79" s="133" t="n">
        <x:v>35.93429158110883</x:v>
      </x:c>
      <x:c r="N79" s="133" t="n">
        <x:v>36.05015673981191</x:v>
      </x:c>
      <x:c r="O79" s="133" t="n">
        <x:v>35.97560975609756</x:v>
      </x:c>
      <x:c r="P79" s="132" t="n">
        <x:v>75</x:v>
      </x:c>
    </x:row>
    <x:row r="80">
      <x:c r="A80" s="136" t="str">
        <x:v>01031011206</x:v>
      </x:c>
      <x:c r="B80" s="132" t="str">
        <x:v>Coffee County</x:v>
      </x:c>
      <x:c r="C80" s="132" t="n">
        <x:v>1</x:v>
      </x:c>
      <x:c r="D80" s="134" t="n">
        <x:v>4877</x:v>
      </x:c>
      <x:c r="E80" s="133" t="n">
        <x:v>20.5</x:v>
      </x:c>
      <x:c r="F80" s="134" t="n">
        <x:v>2953</x:v>
      </x:c>
      <x:c r="G80" s="134" t="n">
        <x:v>1</x:v>
      </x:c>
      <x:c r="H80" s="134" t="n">
        <x:v>833</x:v>
      </x:c>
      <x:c r="I80" s="134" t="n">
        <x:v>505</x:v>
      </x:c>
      <x:c r="J80" s="133" t="n">
        <x:v>17.08017223703096</x:v>
      </x:c>
      <x:c r="K80" s="133" t="n">
        <x:v>17.101252963088385</x:v>
      </x:c>
      <x:c r="L80" s="133" t="n">
        <x:v>17.08542713567839</x:v>
      </x:c>
      <x:c r="M80" s="133" t="n">
        <x:v>16.99604743083004</x:v>
      </x:c>
      <x:c r="N80" s="133" t="n">
        <x:v>17.741935483870968</x:v>
      </x:c>
      <x:c r="O80" s="133" t="n">
        <x:v>17.307692307692307</x:v>
      </x:c>
      <x:c r="P80" s="132" t="n">
        <x:v>76</x:v>
      </x:c>
    </x:row>
    <x:row r="81">
      <x:c r="A81" s="136" t="str">
        <x:v>01073012402</x:v>
      </x:c>
      <x:c r="B81" s="132" t="str">
        <x:v>Jefferson County</x:v>
      </x:c>
      <x:c r="C81" s="132" t="n">
        <x:v>1</x:v>
      </x:c>
      <x:c r="D81" s="134" t="n">
        <x:v>3089</x:v>
      </x:c>
      <x:c r="E81" s="133" t="n">
        <x:v>28.6</x:v>
      </x:c>
      <x:c r="F81" s="134" t="n">
        <x:v>1300</x:v>
      </x:c>
      <x:c r="G81" s="134" t="n">
        <x:v>1</x:v>
      </x:c>
      <x:c r="H81" s="134" t="n">
        <x:v>1191</x:v>
      </x:c>
      <x:c r="I81" s="134" t="n">
        <x:v>501</x:v>
      </x:c>
      <x:c r="J81" s="133" t="n">
        <x:v>38.55616704435092</x:v>
      </x:c>
      <x:c r="K81" s="133" t="n">
        <x:v>38.53846153846154</x:v>
      </x:c>
      <x:c r="L81" s="133" t="n">
        <x:v>38.54961832061068</x:v>
      </x:c>
      <x:c r="M81" s="133" t="n">
        <x:v>38.59275053304904</x:v>
      </x:c>
      <x:c r="N81" s="133" t="n">
        <x:v>38.93805309734513</x:v>
      </x:c>
      <x:c r="O81" s="133" t="n">
        <x:v>38.52813852813853</x:v>
      </x:c>
      <x:c r="P81" s="132" t="n">
        <x:v>77</x:v>
      </x:c>
    </x:row>
    <x:row r="82">
      <x:c r="A82" s="136" t="str">
        <x:v>01015000400</x:v>
      </x:c>
      <x:c r="B82" s="132" t="str">
        <x:v>Calhoun County</x:v>
      </x:c>
      <x:c r="C82" s="132" t="n">
        <x:v>1</x:v>
      </x:c>
      <x:c r="D82" s="134" t="n">
        <x:v>2423</x:v>
      </x:c>
      <x:c r="E82" s="133" t="n">
        <x:v>19.4</x:v>
      </x:c>
      <x:c r="F82" s="134" t="n">
        <x:v>1349</x:v>
      </x:c>
      <x:c r="G82" s="134" t="n">
        <x:v>1</x:v>
      </x:c>
      <x:c r="H82" s="134" t="n">
        <x:v>890</x:v>
      </x:c>
      <x:c r="I82" s="134" t="n">
        <x:v>496</x:v>
      </x:c>
      <x:c r="J82" s="133" t="n">
        <x:v>36.73132480396203</x:v>
      </x:c>
      <x:c r="K82" s="133" t="n">
        <x:v>36.76797627872498</x:v>
      </x:c>
      <x:c r="L82" s="133" t="n">
        <x:v>36.72654690618762</x:v>
      </x:c>
      <x:c r="M82" s="133" t="n">
        <x:v>36.75675675675676</x:v>
      </x:c>
      <x:c r="N82" s="133" t="n">
        <x:v>36.93693693693694</x:v>
      </x:c>
      <x:c r="O82" s="133" t="n">
        <x:v>36.8421052631579</x:v>
      </x:c>
      <x:c r="P82" s="132" t="n">
        <x:v>78</x:v>
      </x:c>
    </x:row>
    <x:row r="83">
      <x:c r="A83" s="136" t="str">
        <x:v>01087232100</x:v>
      </x:c>
      <x:c r="B83" s="132" t="str">
        <x:v>Macon County</x:v>
      </x:c>
      <x:c r="C83" s="132" t="n">
        <x:v>1</x:v>
      </x:c>
      <x:c r="D83" s="134" t="n">
        <x:v>1553</x:v>
      </x:c>
      <x:c r="E83" s="133" t="n">
        <x:v>17</x:v>
      </x:c>
      <x:c r="F83" s="134" t="n">
        <x:v>492</x:v>
      </x:c>
      <x:c r="G83" s="134" t="n">
        <x:v>1</x:v>
      </x:c>
      <x:c r="H83" s="134" t="n">
        <x:v>1553</x:v>
      </x:c>
      <x:c r="I83" s="134" t="n">
        <x:v>492</x:v>
      </x:c>
      <x:c r="J83" s="133" t="n">
        <x:v>100</x:v>
      </x:c>
      <x:c r="K83" s="133" t="n">
        <x:v>100</x:v>
      </x:c>
      <x:c r="L83" s="133" t="n">
        <x:v>100</x:v>
      </x:c>
      <x:c r="M83" s="133" t="n">
        <x:v>100</x:v>
      </x:c>
      <x:c r="N83" s="133" t="n">
        <x:v>100</x:v>
      </x:c>
      <x:c r="O83" s="133" t="n">
        <x:v>100</x:v>
      </x:c>
      <x:c r="P83" s="132" t="n">
        <x:v>79</x:v>
      </x:c>
    </x:row>
    <x:row r="84">
      <x:c r="A84" s="136" t="str">
        <x:v>01083020500</x:v>
      </x:c>
      <x:c r="B84" s="132" t="str">
        <x:v>Limestone County</x:v>
      </x:c>
      <x:c r="C84" s="132" t="n">
        <x:v>1</x:v>
      </x:c>
      <x:c r="D84" s="134" t="n">
        <x:v>3057</x:v>
      </x:c>
      <x:c r="E84" s="133" t="n">
        <x:v>28.8</x:v>
      </x:c>
      <x:c r="F84" s="134" t="n">
        <x:v>1373</x:v>
      </x:c>
      <x:c r="G84" s="134" t="n">
        <x:v>1</x:v>
      </x:c>
      <x:c r="H84" s="134" t="n">
        <x:v>1082</x:v>
      </x:c>
      <x:c r="I84" s="134" t="n">
        <x:v>486</x:v>
      </x:c>
      <x:c r="J84" s="133" t="n">
        <x:v>35.39417729800458</x:v>
      </x:c>
      <x:c r="K84" s="133" t="n">
        <x:v>35.39694100509833</x:v>
      </x:c>
      <x:c r="L84" s="133" t="n">
        <x:v>35.37906137184115</x:v>
      </x:c>
      <x:c r="M84" s="133" t="n">
        <x:v>35.36055603822763</x:v>
      </x:c>
      <x:c r="N84" s="133" t="n">
        <x:v>35.66433566433567</x:v>
      </x:c>
      <x:c r="O84" s="133" t="n">
        <x:v>35.38812785388128</x:v>
      </x:c>
      <x:c r="P84" s="132" t="n">
        <x:v>80</x:v>
      </x:c>
    </x:row>
    <x:row r="85">
      <x:c r="A85" s="136" t="str">
        <x:v>01073005500</x:v>
      </x:c>
      <x:c r="B85" s="132" t="str">
        <x:v>Jefferson County</x:v>
      </x:c>
      <x:c r="C85" s="132" t="n">
        <x:v>1</x:v>
      </x:c>
      <x:c r="D85" s="134" t="n">
        <x:v>1943</x:v>
      </x:c>
      <x:c r="E85" s="133" t="n">
        <x:v>37</x:v>
      </x:c>
      <x:c r="F85" s="134" t="n">
        <x:v>699</x:v>
      </x:c>
      <x:c r="G85" s="134" t="n">
        <x:v>1</x:v>
      </x:c>
      <x:c r="H85" s="134" t="n">
        <x:v>1324</x:v>
      </x:c>
      <x:c r="I85" s="134" t="n">
        <x:v>476</x:v>
      </x:c>
      <x:c r="J85" s="133" t="n">
        <x:v>68.14204837879568</x:v>
      </x:c>
      <x:c r="K85" s="133" t="n">
        <x:v>68.09728183118742</x:v>
      </x:c>
      <x:c r="L85" s="133" t="n">
        <x:v>68.21963394342762</x:v>
      </x:c>
      <x:c r="M85" s="133" t="n">
        <x:v>68.28358208955224</x:v>
      </x:c>
      <x:c r="N85" s="133" t="n">
        <x:v>67.85714285714286</x:v>
      </x:c>
      <x:c r="O85" s="133" t="n">
        <x:v>68.07228915662651</x:v>
      </x:c>
      <x:c r="P85" s="132" t="n">
        <x:v>81</x:v>
      </x:c>
    </x:row>
    <x:row r="86">
      <x:c r="A86" s="136" t="str">
        <x:v>01089001403</x:v>
      </x:c>
      <x:c r="B86" s="132" t="str">
        <x:v>Madison County</x:v>
      </x:c>
      <x:c r="C86" s="132" t="n">
        <x:v>1</x:v>
      </x:c>
      <x:c r="D86" s="134" t="n">
        <x:v>2653</x:v>
      </x:c>
      <x:c r="E86" s="133" t="n">
        <x:v>24.7</x:v>
      </x:c>
      <x:c r="F86" s="134" t="n">
        <x:v>1911</x:v>
      </x:c>
      <x:c r="G86" s="134" t="n">
        <x:v>1</x:v>
      </x:c>
      <x:c r="H86" s="134" t="n">
        <x:v>661</x:v>
      </x:c>
      <x:c r="I86" s="134" t="n">
        <x:v>476</x:v>
      </x:c>
      <x:c r="J86" s="133" t="n">
        <x:v>24.915190350546553</x:v>
      </x:c>
      <x:c r="K86" s="133" t="n">
        <x:v>24.90842490842491</x:v>
      </x:c>
      <x:c r="L86" s="133" t="n">
        <x:v>24.8062015503876</x:v>
      </x:c>
      <x:c r="M86" s="133" t="n">
        <x:v>24.747474747474747</x:v>
      </x:c>
      <x:c r="N86" s="133" t="n">
        <x:v>24.56140350877193</x:v>
      </x:c>
      <x:c r="O86" s="133" t="n">
        <x:v>23.529411764705884</x:v>
      </x:c>
      <x:c r="P86" s="132" t="n">
        <x:v>81</x:v>
      </x:c>
    </x:row>
    <x:row r="87">
      <x:c r="A87" s="136" t="str">
        <x:v>01087231602</x:v>
      </x:c>
      <x:c r="B87" s="132" t="str">
        <x:v>Macon County</x:v>
      </x:c>
      <x:c r="C87" s="132" t="n">
        <x:v>1</x:v>
      </x:c>
      <x:c r="D87" s="134" t="n">
        <x:v>1602</x:v>
      </x:c>
      <x:c r="E87" s="133" t="n">
        <x:v>48.5</x:v>
      </x:c>
      <x:c r="F87" s="134" t="n">
        <x:v>542</x:v>
      </x:c>
      <x:c r="G87" s="134" t="n">
        <x:v>1</x:v>
      </x:c>
      <x:c r="H87" s="134" t="n">
        <x:v>1403</x:v>
      </x:c>
      <x:c r="I87" s="134" t="n">
        <x:v>475</x:v>
      </x:c>
      <x:c r="J87" s="133" t="n">
        <x:v>87.57802746566792</x:v>
      </x:c>
      <x:c r="K87" s="133" t="n">
        <x:v>87.63837638376384</x:v>
      </x:c>
      <x:c r="L87" s="133" t="n">
        <x:v>87.71929824561404</x:v>
      </x:c>
      <x:c r="M87" s="133" t="n">
        <x:v>87.57062146892656</x:v>
      </x:c>
      <x:c r="N87" s="133" t="n">
        <x:v>87.43455497382199</x:v>
      </x:c>
      <x:c r="O87" s="133" t="n">
        <x:v>87.57225433526011</x:v>
      </x:c>
      <x:c r="P87" s="132" t="n">
        <x:v>83</x:v>
      </x:c>
    </x:row>
    <x:row r="88">
      <x:c r="A88" s="136" t="str">
        <x:v>01087231900</x:v>
      </x:c>
      <x:c r="B88" s="132" t="str">
        <x:v>Macon County</x:v>
      </x:c>
      <x:c r="C88" s="132" t="n">
        <x:v>1</x:v>
      </x:c>
      <x:c r="D88" s="134" t="n">
        <x:v>1657</x:v>
      </x:c>
      <x:c r="E88" s="133" t="n">
        <x:v>36.7</x:v>
      </x:c>
      <x:c r="F88" s="134" t="n">
        <x:v>573</x:v>
      </x:c>
      <x:c r="G88" s="134" t="n">
        <x:v>1</x:v>
      </x:c>
      <x:c r="H88" s="134" t="n">
        <x:v>1332</x:v>
      </x:c>
      <x:c r="I88" s="134" t="n">
        <x:v>461</x:v>
      </x:c>
      <x:c r="J88" s="133" t="n">
        <x:v>80.3862401931201</x:v>
      </x:c>
      <x:c r="K88" s="133" t="n">
        <x:v>80.45375218150087</x:v>
      </x:c>
      <x:c r="L88" s="133" t="n">
        <x:v>80.29411764705883</x:v>
      </x:c>
      <x:c r="M88" s="133" t="n">
        <x:v>80.54607508532423</x:v>
      </x:c>
      <x:c r="N88" s="133" t="n">
        <x:v>79.66101694915254</x:v>
      </x:c>
      <x:c r="O88" s="133" t="n">
        <x:v>80.55555555555556</x:v>
      </x:c>
      <x:c r="P88" s="132" t="n">
        <x:v>84</x:v>
      </x:c>
    </x:row>
    <x:row r="89">
      <x:c r="A89" s="136" t="str">
        <x:v>01073011210</x:v>
      </x:c>
      <x:c r="B89" s="132" t="str">
        <x:v>Jefferson County</x:v>
      </x:c>
      <x:c r="C89" s="132" t="n">
        <x:v>1</x:v>
      </x:c>
      <x:c r="D89" s="134" t="n">
        <x:v>3710</x:v>
      </x:c>
      <x:c r="E89" s="133" t="n">
        <x:v>36.9</x:v>
      </x:c>
      <x:c r="F89" s="134" t="n">
        <x:v>1652</x:v>
      </x:c>
      <x:c r="G89" s="134" t="n">
        <x:v>1</x:v>
      </x:c>
      <x:c r="H89" s="134" t="n">
        <x:v>1012</x:v>
      </x:c>
      <x:c r="I89" s="134" t="n">
        <x:v>451</x:v>
      </x:c>
      <x:c r="J89" s="133" t="n">
        <x:v>27.277628032345014</x:v>
      </x:c>
      <x:c r="K89" s="133" t="n">
        <x:v>27.300242130750604</x:v>
      </x:c>
      <x:c r="L89" s="133" t="n">
        <x:v>27.28102189781022</x:v>
      </x:c>
      <x:c r="M89" s="133" t="n">
        <x:v>27.298050139275766</x:v>
      </x:c>
      <x:c r="N89" s="133"/>
      <x:c r="O89" s="133" t="n">
        <x:v>27.272727272727273</x:v>
      </x:c>
      <x:c r="P89" s="132" t="n">
        <x:v>85</x:v>
      </x:c>
    </x:row>
    <x:row r="90">
      <x:c r="A90" s="136" t="str">
        <x:v>01073012304</x:v>
      </x:c>
      <x:c r="B90" s="132" t="str">
        <x:v>Jefferson County</x:v>
      </x:c>
      <x:c r="C90" s="132" t="n">
        <x:v>1</x:v>
      </x:c>
      <x:c r="D90" s="134" t="n">
        <x:v>2527</x:v>
      </x:c>
      <x:c r="E90" s="133" t="n">
        <x:v>22</x:v>
      </x:c>
      <x:c r="F90" s="134" t="n">
        <x:v>1419</x:v>
      </x:c>
      <x:c r="G90" s="134" t="n">
        <x:v>1</x:v>
      </x:c>
      <x:c r="H90" s="134" t="n">
        <x:v>800</x:v>
      </x:c>
      <x:c r="I90" s="134" t="n">
        <x:v>449</x:v>
      </x:c>
      <x:c r="J90" s="133" t="n">
        <x:v>31.658092599920856</x:v>
      </x:c>
      <x:c r="K90" s="133" t="n">
        <x:v>31.64200140944327</x:v>
      </x:c>
      <x:c r="L90" s="133" t="n">
        <x:v>31.663685152057244</x:v>
      </x:c>
      <x:c r="M90" s="133" t="n">
        <x:v>31.6008316008316</x:v>
      </x:c>
      <x:c r="N90" s="133" t="n">
        <x:v>31.386861313868614</x:v>
      </x:c>
      <x:c r="O90" s="133" t="n">
        <x:v>31.304347826086957</x:v>
      </x:c>
      <x:c r="P90" s="132" t="n">
        <x:v>86</x:v>
      </x:c>
    </x:row>
    <x:row r="91">
      <x:c r="A91" s="136" t="str">
        <x:v>01101005102</x:v>
      </x:c>
      <x:c r="B91" s="132" t="str">
        <x:v>Montgomery County</x:v>
      </x:c>
      <x:c r="C91" s="132" t="n">
        <x:v>1</x:v>
      </x:c>
      <x:c r="D91" s="134" t="n">
        <x:v>4239</x:v>
      </x:c>
      <x:c r="E91" s="133" t="n">
        <x:v>24.1</x:v>
      </x:c>
      <x:c r="F91" s="134" t="n">
        <x:v>2517</x:v>
      </x:c>
      <x:c r="G91" s="134" t="n">
        <x:v>1</x:v>
      </x:c>
      <x:c r="H91" s="134" t="n">
        <x:v>748</x:v>
      </x:c>
      <x:c r="I91" s="134" t="n">
        <x:v>444</x:v>
      </x:c>
      <x:c r="J91" s="133" t="n">
        <x:v>17.64567114885586</x:v>
      </x:c>
      <x:c r="K91" s="133" t="n">
        <x:v>17.640047675804528</x:v>
      </x:c>
      <x:c r="L91" s="133" t="n">
        <x:v>17.611940298507463</x:v>
      </x:c>
      <x:c r="M91" s="133" t="n">
        <x:v>17.692307692307693</x:v>
      </x:c>
      <x:c r="N91" s="133" t="n">
        <x:v>17.509727626459146</x:v>
      </x:c>
      <x:c r="O91" s="133" t="n">
        <x:v>17.59656652360515</x:v>
      </x:c>
      <x:c r="P91" s="132" t="n">
        <x:v>87</x:v>
      </x:c>
    </x:row>
    <x:row r="92">
      <x:c r="A92" s="136" t="str">
        <x:v>01017954600</x:v>
      </x:c>
      <x:c r="B92" s="132" t="str">
        <x:v>Chambers County</x:v>
      </x:c>
      <x:c r="C92" s="132" t="n">
        <x:v>1</x:v>
      </x:c>
      <x:c r="D92" s="134" t="n">
        <x:v>3844</x:v>
      </x:c>
      <x:c r="E92" s="133" t="n">
        <x:v>9.1</x:v>
      </x:c>
      <x:c r="F92" s="134" t="n">
        <x:v>1953</x:v>
      </x:c>
      <x:c r="G92" s="134" t="n">
        <x:v>1</x:v>
      </x:c>
      <x:c r="H92" s="134" t="n">
        <x:v>862</x:v>
      </x:c>
      <x:c r="I92" s="134" t="n">
        <x:v>438</x:v>
      </x:c>
      <x:c r="J92" s="133" t="n">
        <x:v>22.42455775234131</x:v>
      </x:c>
      <x:c r="K92" s="133" t="n">
        <x:v>22.427035330261138</x:v>
      </x:c>
      <x:c r="L92" s="133" t="n">
        <x:v>22.433035714285715</x:v>
      </x:c>
      <x:c r="M92" s="133" t="n">
        <x:v>22.413793103448278</x:v>
      </x:c>
      <x:c r="N92" s="133" t="n">
        <x:v>22.22222222222222</x:v>
      </x:c>
      <x:c r="O92" s="133" t="n">
        <x:v>22.22222222222222</x:v>
      </x:c>
      <x:c r="P92" s="132" t="n">
        <x:v>88</x:v>
      </x:c>
    </x:row>
    <x:row r="93">
      <x:c r="A93" s="136" t="str">
        <x:v>01069041500</x:v>
      </x:c>
      <x:c r="B93" s="132" t="str">
        <x:v>Houston County</x:v>
      </x:c>
      <x:c r="C93" s="132" t="n">
        <x:v>1</x:v>
      </x:c>
      <x:c r="D93" s="134" t="n">
        <x:v>4184</x:v>
      </x:c>
      <x:c r="E93" s="133" t="n">
        <x:v>44.9</x:v>
      </x:c>
      <x:c r="F93" s="134" t="n">
        <x:v>1367</x:v>
      </x:c>
      <x:c r="G93" s="134" t="n">
        <x:v>1</x:v>
      </x:c>
      <x:c r="H93" s="134" t="n">
        <x:v>1334</x:v>
      </x:c>
      <x:c r="I93" s="134" t="n">
        <x:v>436</x:v>
      </x:c>
      <x:c r="J93" s="133" t="n">
        <x:v>31.883365200764818</x:v>
      </x:c>
      <x:c r="K93" s="133" t="n">
        <x:v>31.894659839063642</x:v>
      </x:c>
      <x:c r="L93" s="133" t="n">
        <x:v>31.870229007633586</x:v>
      </x:c>
      <x:c r="M93" s="133" t="n">
        <x:v>31.887201735357916</x:v>
      </x:c>
      <x:c r="N93" s="133" t="n">
        <x:v>31.9672131147541</x:v>
      </x:c>
      <x:c r="O93" s="133" t="n">
        <x:v>31.98090692124105</x:v>
      </x:c>
      <x:c r="P93" s="132" t="n">
        <x:v>89</x:v>
      </x:c>
    </x:row>
    <x:row r="94">
      <x:c r="A94" s="136" t="str">
        <x:v>01097006103</x:v>
      </x:c>
      <x:c r="B94" s="132" t="str">
        <x:v>Mobile County</x:v>
      </x:c>
      <x:c r="C94" s="132" t="n">
        <x:v>1</x:v>
      </x:c>
      <x:c r="D94" s="134" t="n">
        <x:v>4800</x:v>
      </x:c>
      <x:c r="E94" s="133" t="n">
        <x:v>15.1</x:v>
      </x:c>
      <x:c r="F94" s="134" t="n">
        <x:v>1465</x:v>
      </x:c>
      <x:c r="G94" s="134" t="n">
        <x:v>1</x:v>
      </x:c>
      <x:c r="H94" s="134" t="n">
        <x:v>1420</x:v>
      </x:c>
      <x:c r="I94" s="134" t="n">
        <x:v>433</x:v>
      </x:c>
      <x:c r="J94" s="133" t="n">
        <x:v>29.583333333333332</x:v>
      </x:c>
      <x:c r="K94" s="133" t="n">
        <x:v>29.55631399317406</x:v>
      </x:c>
      <x:c r="L94" s="133" t="n">
        <x:v>29.592760180995477</x:v>
      </x:c>
      <x:c r="M94" s="133" t="n">
        <x:v>29.605963791267307</x:v>
      </x:c>
      <x:c r="N94" s="133" t="n">
        <x:v>29.166666666666668</x:v>
      </x:c>
      <x:c r="O94" s="133" t="n">
        <x:v>29.59830866807611</x:v>
      </x:c>
      <x:c r="P94" s="132" t="n">
        <x:v>90</x:v>
      </x:c>
    </x:row>
    <x:row r="95">
      <x:c r="A95" s="136" t="str">
        <x:v>01015001600</x:v>
      </x:c>
      <x:c r="B95" s="132" t="str">
        <x:v>Calhoun County</x:v>
      </x:c>
      <x:c r="C95" s="132" t="n">
        <x:v>1</x:v>
      </x:c>
      <x:c r="D95" s="134" t="n">
        <x:v>3513</x:v>
      </x:c>
      <x:c r="E95" s="133" t="n">
        <x:v>26.2</x:v>
      </x:c>
      <x:c r="F95" s="134" t="n">
        <x:v>1425</x:v>
      </x:c>
      <x:c r="G95" s="134" t="n">
        <x:v>1</x:v>
      </x:c>
      <x:c r="H95" s="134" t="n">
        <x:v>1047</x:v>
      </x:c>
      <x:c r="I95" s="134" t="n">
        <x:v>425</x:v>
      </x:c>
      <x:c r="J95" s="133" t="n">
        <x:v>29.803586678052945</x:v>
      </x:c>
      <x:c r="K95" s="133" t="n">
        <x:v>29.82456140350877</x:v>
      </x:c>
      <x:c r="L95" s="133" t="n">
        <x:v>29.846938775510203</x:v>
      </x:c>
      <x:c r="M95" s="133" t="n">
        <x:v>29.739776951672862</x:v>
      </x:c>
      <x:c r="N95" s="133" t="n">
        <x:v>29.26829268292683</x:v>
      </x:c>
      <x:c r="O95" s="133" t="n">
        <x:v>29.842931937172775</x:v>
      </x:c>
      <x:c r="P95" s="132" t="n">
        <x:v>91</x:v>
      </x:c>
    </x:row>
    <x:row r="96">
      <x:c r="A96" s="136" t="str">
        <x:v>01003010600</x:v>
      </x:c>
      <x:c r="B96" s="132" t="str">
        <x:v>Baldwin County</x:v>
      </x:c>
      <x:c r="C96" s="132" t="n">
        <x:v>1</x:v>
      </x:c>
      <x:c r="D96" s="134" t="n">
        <x:v>3234</x:v>
      </x:c>
      <x:c r="E96" s="133" t="n">
        <x:v>37.5</x:v>
      </x:c>
      <x:c r="F96" s="134" t="n">
        <x:v>1234</x:v>
      </x:c>
      <x:c r="G96" s="134" t="n">
        <x:v>1</x:v>
      </x:c>
      <x:c r="H96" s="134" t="n">
        <x:v>1110</x:v>
      </x:c>
      <x:c r="I96" s="134" t="n">
        <x:v>424</x:v>
      </x:c>
      <x:c r="J96" s="133" t="n">
        <x:v>34.32282003710575</x:v>
      </x:c>
      <x:c r="K96" s="133" t="n">
        <x:v>34.35980551053485</x:v>
      </x:c>
      <x:c r="L96" s="133" t="n">
        <x:v>34.28246013667426</x:v>
      </x:c>
      <x:c r="M96" s="133" t="n">
        <x:v>34.22818791946309</x:v>
      </x:c>
      <x:c r="N96" s="133" t="n">
        <x:v>34.51327433628319</x:v>
      </x:c>
      <x:c r="O96" s="133" t="n">
        <x:v>34.33734939759036</x:v>
      </x:c>
      <x:c r="P96" s="132" t="n">
        <x:v>92</x:v>
      </x:c>
    </x:row>
    <x:row r="97">
      <x:c r="A97" s="136" t="str">
        <x:v>01005950900</x:v>
      </x:c>
      <x:c r="B97" s="132" t="str">
        <x:v>Barbour County</x:v>
      </x:c>
      <x:c r="C97" s="132" t="n">
        <x:v>1</x:v>
      </x:c>
      <x:c r="D97" s="134" t="n">
        <x:v>4638</x:v>
      </x:c>
      <x:c r="E97" s="133" t="n">
        <x:v>20.6</x:v>
      </x:c>
      <x:c r="F97" s="134" t="n">
        <x:v>1847</x:v>
      </x:c>
      <x:c r="G97" s="134" t="n">
        <x:v>1</x:v>
      </x:c>
      <x:c r="H97" s="134" t="n">
        <x:v>1057</x:v>
      </x:c>
      <x:c r="I97" s="134" t="n">
        <x:v>421</x:v>
      </x:c>
      <x:c r="J97" s="133" t="n">
        <x:v>22.789995687796463</x:v>
      </x:c>
      <x:c r="K97" s="133" t="n">
        <x:v>22.793719545208447</x:v>
      </x:c>
      <x:c r="L97" s="133" t="n">
        <x:v>22.778192681105303</x:v>
      </x:c>
      <x:c r="M97" s="133" t="n">
        <x:v>22.809457579972182</x:v>
      </x:c>
      <x:c r="N97" s="133" t="n">
        <x:v>22.80130293159609</x:v>
      </x:c>
      <x:c r="O97" s="133" t="n">
        <x:v>22.709923664122137</x:v>
      </x:c>
      <x:c r="P97" s="132" t="n">
        <x:v>93</x:v>
      </x:c>
    </x:row>
    <x:row r="98">
      <x:c r="A98" s="136" t="str">
        <x:v>01081040607</x:v>
      </x:c>
      <x:c r="B98" s="132" t="str">
        <x:v>Lee County</x:v>
      </x:c>
      <x:c r="C98" s="132" t="n">
        <x:v>1</x:v>
      </x:c>
      <x:c r="D98" s="134" t="n">
        <x:v>1307</x:v>
      </x:c>
      <x:c r="E98" s="133" t="n">
        <x:v>19.1</x:v>
      </x:c>
      <x:c r="F98" s="134" t="n">
        <x:v>537</x:v>
      </x:c>
      <x:c r="G98" s="134" t="n">
        <x:v>1</x:v>
      </x:c>
      <x:c r="H98" s="134" t="n">
        <x:v>1011</x:v>
      </x:c>
      <x:c r="I98" s="134" t="n">
        <x:v>415</x:v>
      </x:c>
      <x:c r="J98" s="133" t="n">
        <x:v>77.35271614384085</x:v>
      </x:c>
      <x:c r="K98" s="133" t="n">
        <x:v>77.28119180633148</x:v>
      </x:c>
      <x:c r="L98" s="133" t="n">
        <x:v>77.35849056603773</x:v>
      </x:c>
      <x:c r="M98" s="133" t="n">
        <x:v>77.10843373493977</x:v>
      </x:c>
      <x:c r="N98" s="133" t="n">
        <x:v>78.78787878787878</x:v>
      </x:c>
      <x:c r="O98" s="133" t="n">
        <x:v>76.84210526315789</x:v>
      </x:c>
      <x:c r="P98" s="132" t="n">
        <x:v>94</x:v>
      </x:c>
    </x:row>
    <x:row r="99">
      <x:c r="A99" s="136" t="str">
        <x:v>01081042009</x:v>
      </x:c>
      <x:c r="B99" s="132" t="str">
        <x:v>Lee County</x:v>
      </x:c>
      <x:c r="C99" s="132" t="n">
        <x:v>1</x:v>
      </x:c>
      <x:c r="D99" s="134" t="n">
        <x:v>1642</x:v>
      </x:c>
      <x:c r="E99" s="133" t="n">
        <x:v>2.7</x:v>
      </x:c>
      <x:c r="F99" s="134" t="n">
        <x:v>1008</x:v>
      </x:c>
      <x:c r="G99" s="134" t="n">
        <x:v>1</x:v>
      </x:c>
      <x:c r="H99" s="134" t="n">
        <x:v>674</x:v>
      </x:c>
      <x:c r="I99" s="134" t="n">
        <x:v>414</x:v>
      </x:c>
      <x:c r="J99" s="133" t="n">
        <x:v>41.04750304506699</x:v>
      </x:c>
      <x:c r="K99" s="133" t="n">
        <x:v>41.07142857142857</x:v>
      </x:c>
      <x:c r="L99" s="133" t="n">
        <x:v>40.966921119592875</x:v>
      </x:c>
      <x:c r="M99" s="133" t="n">
        <x:v>41.23711340206186</x:v>
      </x:c>
      <x:c r="N99" s="133" t="n">
        <x:v>42.857142857142854</x:v>
      </x:c>
      <x:c r="O99" s="133" t="n">
        <x:v>41.509433962264154</x:v>
      </x:c>
      <x:c r="P99" s="132" t="n">
        <x:v>95</x:v>
      </x:c>
    </x:row>
    <x:row r="100">
      <x:c r="A100" s="136" t="str">
        <x:v>01097006903</x:v>
      </x:c>
      <x:c r="B100" s="132" t="str">
        <x:v>Mobile County</x:v>
      </x:c>
      <x:c r="C100" s="132" t="n">
        <x:v>1</x:v>
      </x:c>
      <x:c r="D100" s="134" t="n">
        <x:v>3367</x:v>
      </x:c>
      <x:c r="E100" s="133" t="n">
        <x:v>27.9</x:v>
      </x:c>
      <x:c r="F100" s="134" t="n">
        <x:v>1670</x:v>
      </x:c>
      <x:c r="G100" s="134" t="n">
        <x:v>1</x:v>
      </x:c>
      <x:c r="H100" s="134" t="n">
        <x:v>827</x:v>
      </x:c>
      <x:c r="I100" s="134" t="n">
        <x:v>410</x:v>
      </x:c>
      <x:c r="J100" s="133" t="n">
        <x:v>24.561924561924563</x:v>
      </x:c>
      <x:c r="K100" s="133" t="n">
        <x:v>24.550898203592816</x:v>
      </x:c>
      <x:c r="L100" s="133" t="n">
        <x:v>24.54054054054054</x:v>
      </x:c>
      <x:c r="M100" s="133" t="n">
        <x:v>24.58628841607565</x:v>
      </x:c>
      <x:c r="N100" s="133" t="n">
        <x:v>24.528301886792452</x:v>
      </x:c>
      <x:c r="O100" s="133" t="n">
        <x:v>24.43609022556391</x:v>
      </x:c>
      <x:c r="P100" s="132" t="n">
        <x:v>96</x:v>
      </x:c>
    </x:row>
    <x:row r="101">
      <x:c r="A101" s="136" t="str">
        <x:v>01077010400</x:v>
      </x:c>
      <x:c r="B101" s="132" t="str">
        <x:v>Lauderdale County</x:v>
      </x:c>
      <x:c r="C101" s="132" t="n">
        <x:v>1</x:v>
      </x:c>
      <x:c r="D101" s="134" t="n">
        <x:v>3429</x:v>
      </x:c>
      <x:c r="E101" s="133" t="n">
        <x:v>25.8</x:v>
      </x:c>
      <x:c r="F101" s="134" t="n">
        <x:v>1657</x:v>
      </x:c>
      <x:c r="G101" s="134" t="n">
        <x:v>1</x:v>
      </x:c>
      <x:c r="H101" s="134" t="n">
        <x:v>837</x:v>
      </x:c>
      <x:c r="I101" s="134" t="n">
        <x:v>404</x:v>
      </x:c>
      <x:c r="J101" s="133" t="n">
        <x:v>24.409448818897637</x:v>
      </x:c>
      <x:c r="K101" s="133" t="n">
        <x:v>24.381412190706094</x:v>
      </x:c>
      <x:c r="L101" s="133" t="n">
        <x:v>24.358974358974358</x:v>
      </x:c>
      <x:c r="M101" s="133" t="n">
        <x:v>24.423076923076923</x:v>
      </x:c>
      <x:c r="N101" s="133" t="n">
        <x:v>25</x:v>
      </x:c>
      <x:c r="O101" s="133" t="n">
        <x:v>24.271844660194176</x:v>
      </x:c>
      <x:c r="P101" s="132" t="n">
        <x:v>97</x:v>
      </x:c>
    </x:row>
    <x:row r="102">
      <x:c r="A102" s="136" t="str">
        <x:v>01015001300</x:v>
      </x:c>
      <x:c r="B102" s="132" t="str">
        <x:v>Calhoun County</x:v>
      </x:c>
      <x:c r="C102" s="132" t="n">
        <x:v>1</x:v>
      </x:c>
      <x:c r="D102" s="134" t="n">
        <x:v>2006</x:v>
      </x:c>
      <x:c r="E102" s="133" t="n">
        <x:v>22.9</x:v>
      </x:c>
      <x:c r="F102" s="134" t="n">
        <x:v>1058</x:v>
      </x:c>
      <x:c r="G102" s="134" t="n">
        <x:v>1</x:v>
      </x:c>
      <x:c r="H102" s="134" t="n">
        <x:v>750</x:v>
      </x:c>
      <x:c r="I102" s="134" t="n">
        <x:v>396</x:v>
      </x:c>
      <x:c r="J102" s="133" t="n">
        <x:v>37.387836490528414</x:v>
      </x:c>
      <x:c r="K102" s="133" t="n">
        <x:v>37.42911153119093</x:v>
      </x:c>
      <x:c r="L102" s="133" t="n">
        <x:v>37.37864077669903</x:v>
      </x:c>
      <x:c r="M102" s="133" t="n">
        <x:v>37.38601823708207</x:v>
      </x:c>
      <x:c r="N102" s="133" t="n">
        <x:v>37.80487804878049</x:v>
      </x:c>
      <x:c r="O102" s="133" t="n">
        <x:v>37.34939759036145</x:v>
      </x:c>
      <x:c r="P102" s="132" t="n">
        <x:v>98</x:v>
      </x:c>
    </x:row>
    <x:row r="103">
      <x:c r="A103" s="136" t="str">
        <x:v>01073010900</x:v>
      </x:c>
      <x:c r="B103" s="132" t="str">
        <x:v>Jefferson County</x:v>
      </x:c>
      <x:c r="C103" s="132" t="n">
        <x:v>1</x:v>
      </x:c>
      <x:c r="D103" s="134" t="n">
        <x:v>4719</x:v>
      </x:c>
      <x:c r="E103" s="133" t="n">
        <x:v>24.1</x:v>
      </x:c>
      <x:c r="F103" s="134" t="n">
        <x:v>1803</x:v>
      </x:c>
      <x:c r="G103" s="134" t="n">
        <x:v>1</x:v>
      </x:c>
      <x:c r="H103" s="134" t="n">
        <x:v>979</x:v>
      </x:c>
      <x:c r="I103" s="134" t="n">
        <x:v>374</x:v>
      </x:c>
      <x:c r="J103" s="133" t="n">
        <x:v>20.745920745920746</x:v>
      </x:c>
      <x:c r="K103" s="133" t="n">
        <x:v>20.74320576816417</x:v>
      </x:c>
      <x:c r="L103" s="133" t="n">
        <x:v>20.77922077922078</x:v>
      </x:c>
      <x:c r="M103" s="133" t="n">
        <x:v>20.761245674740483</x:v>
      </x:c>
      <x:c r="N103" s="133" t="n">
        <x:v>20.90032154340836</x:v>
      </x:c>
      <x:c r="O103" s="133" t="n">
        <x:v>20.743639921722114</x:v>
      </x:c>
      <x:c r="P103" s="132" t="n">
        <x:v>99</x:v>
      </x:c>
    </x:row>
    <x:row r="104">
      <x:c r="A104" s="136" t="str">
        <x:v>01047956800</x:v>
      </x:c>
      <x:c r="B104" s="132" t="str">
        <x:v>Dallas County</x:v>
      </x:c>
      <x:c r="C104" s="132" t="n">
        <x:v>1</x:v>
      </x:c>
      <x:c r="D104" s="134" t="n">
        <x:v>2709</x:v>
      </x:c>
      <x:c r="E104" s="133" t="n">
        <x:v>13.4</x:v>
      </x:c>
      <x:c r="F104" s="134" t="n">
        <x:v>1557</x:v>
      </x:c>
      <x:c r="G104" s="134" t="n">
        <x:v>1</x:v>
      </x:c>
      <x:c r="H104" s="134" t="n">
        <x:v>647</x:v>
      </x:c>
      <x:c r="I104" s="134" t="n">
        <x:v>372</x:v>
      </x:c>
      <x:c r="J104" s="133" t="n">
        <x:v>23.883351790328536</x:v>
      </x:c>
      <x:c r="K104" s="133" t="n">
        <x:v>23.892100192678228</x:v>
      </x:c>
      <x:c r="L104" s="133" t="n">
        <x:v>23.85185185185185</x:v>
      </x:c>
      <x:c r="M104" s="133" t="n">
        <x:v>23.82608695652174</x:v>
      </x:c>
      <x:c r="N104" s="133" t="n">
        <x:v>24.025974025974026</x:v>
      </x:c>
      <x:c r="O104" s="133" t="n">
        <x:v>23.973727422003282</x:v>
      </x:c>
      <x:c r="P104" s="132" t="n">
        <x:v>100</x:v>
      </x:c>
    </x:row>
    <x:row r="105">
      <x:c r="A105" s="136" t="str">
        <x:v>01089010625</x:v>
      </x:c>
      <x:c r="B105" s="132" t="str">
        <x:v>Madison County</x:v>
      </x:c>
      <x:c r="C105" s="132" t="n">
        <x:v>1</x:v>
      </x:c>
      <x:c r="D105" s="134" t="n">
        <x:v>4834</x:v>
      </x:c>
      <x:c r="E105" s="133" t="n">
        <x:v>17.2</x:v>
      </x:c>
      <x:c r="F105" s="134" t="n">
        <x:v>2420</x:v>
      </x:c>
      <x:c r="G105" s="134" t="n">
        <x:v>1</x:v>
      </x:c>
      <x:c r="H105" s="134" t="n">
        <x:v>738</x:v>
      </x:c>
      <x:c r="I105" s="134" t="n">
        <x:v>370</x:v>
      </x:c>
      <x:c r="J105" s="133" t="n">
        <x:v>15.266859743483657</x:v>
      </x:c>
      <x:c r="K105" s="133" t="n">
        <x:v>15.289256198347108</x:v>
      </x:c>
      <x:c r="L105" s="133" t="n">
        <x:v>15.262515262515263</x:v>
      </x:c>
      <x:c r="M105" s="133" t="n">
        <x:v>15.35181236673774</x:v>
      </x:c>
      <x:c r="N105" s="133" t="n">
        <x:v>15.2073732718894</x:v>
      </x:c>
      <x:c r="O105" s="133" t="n">
        <x:v>15.31986531986532</x:v>
      </x:c>
      <x:c r="P105" s="132" t="n">
        <x:v>101</x:v>
      </x:c>
    </x:row>
    <x:row r="106">
      <x:c r="A106" s="136" t="str">
        <x:v>01097005300</x:v>
      </x:c>
      <x:c r="B106" s="132" t="str">
        <x:v>Mobile County</x:v>
      </x:c>
      <x:c r="C106" s="132" t="n">
        <x:v>1</x:v>
      </x:c>
      <x:c r="D106" s="134" t="n">
        <x:v>2259</x:v>
      </x:c>
      <x:c r="E106" s="133" t="n">
        <x:v>32</x:v>
      </x:c>
      <x:c r="F106" s="134" t="n">
        <x:v>1423</x:v>
      </x:c>
      <x:c r="G106" s="134" t="n">
        <x:v>1</x:v>
      </x:c>
      <x:c r="H106" s="134" t="n">
        <x:v>550</x:v>
      </x:c>
      <x:c r="I106" s="134" t="n">
        <x:v>347</x:v>
      </x:c>
      <x:c r="J106" s="133" t="n">
        <x:v>24.34705621956618</x:v>
      </x:c>
      <x:c r="K106" s="133" t="n">
        <x:v>24.38510189739986</x:v>
      </x:c>
      <x:c r="L106" s="133" t="n">
        <x:v>24.378109452736318</x:v>
      </x:c>
      <x:c r="M106" s="133" t="n">
        <x:v>24.276169265033406</x:v>
      </x:c>
      <x:c r="N106" s="133" t="n">
        <x:v>24.242424242424242</x:v>
      </x:c>
      <x:c r="O106" s="133" t="n">
        <x:v>24.264705882352942</x:v>
      </x:c>
      <x:c r="P106" s="132" t="n">
        <x:v>102</x:v>
      </x:c>
    </x:row>
    <x:row r="107">
      <x:c r="A107" s="136" t="str">
        <x:v>01013953100</x:v>
      </x:c>
      <x:c r="B107" s="132" t="str">
        <x:v>Butler County</x:v>
      </x:c>
      <x:c r="C107" s="132" t="n">
        <x:v>1</x:v>
      </x:c>
      <x:c r="D107" s="134" t="n">
        <x:v>2526</x:v>
      </x:c>
      <x:c r="E107" s="133" t="n">
        <x:v>34.3</x:v>
      </x:c>
      <x:c r="F107" s="134" t="n">
        <x:v>1197</x:v>
      </x:c>
      <x:c r="G107" s="134" t="n">
        <x:v>1</x:v>
      </x:c>
      <x:c r="H107" s="134" t="n">
        <x:v>726</x:v>
      </x:c>
      <x:c r="I107" s="134" t="n">
        <x:v>344</x:v>
      </x:c>
      <x:c r="J107" s="133" t="n">
        <x:v>28.741092636579573</x:v>
      </x:c>
      <x:c r="K107" s="133" t="n">
        <x:v>28.738512949039265</x:v>
      </x:c>
      <x:c r="L107" s="133" t="n">
        <x:v>28.688524590163933</x:v>
      </x:c>
      <x:c r="M107" s="133" t="n">
        <x:v>28.735632183908045</x:v>
      </x:c>
      <x:c r="N107" s="133" t="n">
        <x:v>28.42105263157895</x:v>
      </x:c>
      <x:c r="O107" s="133" t="n">
        <x:v>28.83895131086142</x:v>
      </x:c>
      <x:c r="P107" s="132" t="n">
        <x:v>103</x:v>
      </x:c>
    </x:row>
    <x:row r="108">
      <x:c r="A108" s="136" t="str">
        <x:v>01073013901</x:v>
      </x:c>
      <x:c r="B108" s="132" t="str">
        <x:v>Jefferson County</x:v>
      </x:c>
      <x:c r="C108" s="132" t="n">
        <x:v>1</x:v>
      </x:c>
      <x:c r="D108" s="134" t="n">
        <x:v>1565</x:v>
      </x:c>
      <x:c r="E108" s="133" t="n">
        <x:v>25.8</x:v>
      </x:c>
      <x:c r="F108" s="134" t="n">
        <x:v>775</x:v>
      </x:c>
      <x:c r="G108" s="134" t="n">
        <x:v>1</x:v>
      </x:c>
      <x:c r="H108" s="134" t="n">
        <x:v>680</x:v>
      </x:c>
      <x:c r="I108" s="134" t="n">
        <x:v>337</x:v>
      </x:c>
      <x:c r="J108" s="133" t="n">
        <x:v>43.45047923322684</x:v>
      </x:c>
      <x:c r="K108" s="133" t="n">
        <x:v>43.483870967741936</x:v>
      </x:c>
      <x:c r="L108" s="133" t="n">
        <x:v>43.43434343434343</x:v>
      </x:c>
      <x:c r="M108" s="133" t="n">
        <x:v>43.32425068119891</x:v>
      </x:c>
      <x:c r="N108" s="133" t="n">
        <x:v>44.44444444444444</x:v>
      </x:c>
      <x:c r="O108" s="133" t="n">
        <x:v>43.65079365079365</x:v>
      </x:c>
      <x:c r="P108" s="132" t="n">
        <x:v>104</x:v>
      </x:c>
    </x:row>
    <x:row r="109">
      <x:c r="A109" s="136" t="str">
        <x:v>01035960600</x:v>
      </x:c>
      <x:c r="B109" s="132" t="str">
        <x:v>Conecuh County</x:v>
      </x:c>
      <x:c r="C109" s="132" t="n">
        <x:v>0</x:v>
      </x:c>
      <x:c r="D109" s="134" t="n">
        <x:v>4019</x:v>
      </x:c>
      <x:c r="E109" s="133" t="n">
        <x:v>31.8</x:v>
      </x:c>
      <x:c r="F109" s="134" t="n">
        <x:v>1835</x:v>
      </x:c>
      <x:c r="G109" s="134" t="n">
        <x:v>1</x:v>
      </x:c>
      <x:c r="H109" s="134" t="n">
        <x:v>731</x:v>
      </x:c>
      <x:c r="I109" s="134" t="n">
        <x:v>334</x:v>
      </x:c>
      <x:c r="J109" s="133" t="n">
        <x:v>18.188604130380693</x:v>
      </x:c>
      <x:c r="K109" s="133" t="n">
        <x:v>18.201634877384198</x:v>
      </x:c>
      <x:c r="L109" s="133" t="n">
        <x:v>18.13063063063063</x:v>
      </x:c>
      <x:c r="M109" s="133" t="n">
        <x:v>18.220793140407288</x:v>
      </x:c>
      <x:c r="N109" s="133" t="n">
        <x:v>18.367346938775512</x:v>
      </x:c>
      <x:c r="O109" s="133" t="n">
        <x:v>18.181818181818183</x:v>
      </x:c>
      <x:c r="P109" s="132" t="n">
        <x:v>105</x:v>
      </x:c>
    </x:row>
    <x:row r="110">
      <x:c r="A110" s="136" t="str">
        <x:v>01081040603</x:v>
      </x:c>
      <x:c r="B110" s="132" t="str">
        <x:v>Lee County</x:v>
      </x:c>
      <x:c r="C110" s="132" t="n">
        <x:v>1</x:v>
      </x:c>
      <x:c r="D110" s="134" t="n">
        <x:v>1379</x:v>
      </x:c>
      <x:c r="E110" s="133" t="n">
        <x:v>62.6</x:v>
      </x:c>
      <x:c r="F110" s="134" t="n">
        <x:v>385</x:v>
      </x:c>
      <x:c r="G110" s="134" t="n">
        <x:v>1</x:v>
      </x:c>
      <x:c r="H110" s="134" t="n">
        <x:v>1194</x:v>
      </x:c>
      <x:c r="I110" s="134" t="n">
        <x:v>333</x:v>
      </x:c>
      <x:c r="J110" s="133" t="n">
        <x:v>86.58448150833938</x:v>
      </x:c>
      <x:c r="K110" s="133" t="n">
        <x:v>86.49350649350649</x:v>
      </x:c>
      <x:c r="L110" s="133" t="n">
        <x:v>86.51315789473684</x:v>
      </x:c>
      <x:c r="M110" s="133" t="n">
        <x:v>86.11111111111111</x:v>
      </x:c>
      <x:c r="N110" s="133" t="n">
        <x:v>86.11111111111111</x:v>
      </x:c>
      <x:c r="O110" s="133" t="n">
        <x:v>86.73469387755102</x:v>
      </x:c>
      <x:c r="P110" s="132" t="n">
        <x:v>106</x:v>
      </x:c>
    </x:row>
    <x:row r="111">
      <x:c r="A111" s="136" t="str">
        <x:v>01015000700</x:v>
      </x:c>
      <x:c r="B111" s="132" t="str">
        <x:v>Calhoun County</x:v>
      </x:c>
      <x:c r="C111" s="132" t="n">
        <x:v>1</x:v>
      </x:c>
      <x:c r="D111" s="134" t="n">
        <x:v>2952</x:v>
      </x:c>
      <x:c r="E111" s="133" t="n">
        <x:v>25.7</x:v>
      </x:c>
      <x:c r="F111" s="134" t="n">
        <x:v>1348</x:v>
      </x:c>
      <x:c r="G111" s="134" t="n">
        <x:v>1</x:v>
      </x:c>
      <x:c r="H111" s="134" t="n">
        <x:v>693</x:v>
      </x:c>
      <x:c r="I111" s="134" t="n">
        <x:v>316</x:v>
      </x:c>
      <x:c r="J111" s="133" t="n">
        <x:v>23.475609756097562</x:v>
      </x:c>
      <x:c r="K111" s="133" t="n">
        <x:v>23.44213649851632</x:v>
      </x:c>
      <x:c r="L111" s="133" t="n">
        <x:v>23.5370611183355</x:v>
      </x:c>
      <x:c r="M111" s="133" t="n">
        <x:v>23.428571428571427</x:v>
      </x:c>
      <x:c r="N111" s="133" t="n">
        <x:v>23.563218390804597</x:v>
      </x:c>
      <x:c r="O111" s="133" t="n">
        <x:v>23.373493975903614</x:v>
      </x:c>
      <x:c r="P111" s="132" t="n">
        <x:v>107</x:v>
      </x:c>
    </x:row>
    <x:row r="112">
      <x:c r="A112" s="136" t="str">
        <x:v>01015000200</x:v>
      </x:c>
      <x:c r="B112" s="132" t="str">
        <x:v>Calhoun County</x:v>
      </x:c>
      <x:c r="C112" s="132" t="n">
        <x:v>1</x:v>
      </x:c>
      <x:c r="D112" s="134" t="n">
        <x:v>2929</x:v>
      </x:c>
      <x:c r="E112" s="133" t="n">
        <x:v>32.6</x:v>
      </x:c>
      <x:c r="F112" s="134" t="n">
        <x:v>1478</x:v>
      </x:c>
      <x:c r="G112" s="134" t="n">
        <x:v>1</x:v>
      </x:c>
      <x:c r="H112" s="134" t="n">
        <x:v>608</x:v>
      </x:c>
      <x:c r="I112" s="134" t="n">
        <x:v>307</x:v>
      </x:c>
      <x:c r="J112" s="133" t="n">
        <x:v>20.757937862751792</x:v>
      </x:c>
      <x:c r="K112" s="133" t="n">
        <x:v>20.77131258457375</x:v>
      </x:c>
      <x:c r="L112" s="133" t="n">
        <x:v>20.727848101265824</x:v>
      </x:c>
      <x:c r="M112" s="133" t="n">
        <x:v>20.79646017699115</x:v>
      </x:c>
      <x:c r="N112" s="133" t="n">
        <x:v>20.689655172413794</x:v>
      </x:c>
      <x:c r="O112" s="133" t="n">
        <x:v>20.816326530612244</x:v>
      </x:c>
      <x:c r="P112" s="132" t="n">
        <x:v>108</x:v>
      </x:c>
    </x:row>
    <x:row r="113">
      <x:c r="A113" s="136" t="str">
        <x:v>01073010500</x:v>
      </x:c>
      <x:c r="B113" s="132" t="str">
        <x:v>Jefferson County</x:v>
      </x:c>
      <x:c r="C113" s="132" t="n">
        <x:v>1</x:v>
      </x:c>
      <x:c r="D113" s="134" t="n">
        <x:v>1581</x:v>
      </x:c>
      <x:c r="E113" s="133" t="n">
        <x:v>24.9</x:v>
      </x:c>
      <x:c r="F113" s="134" t="n">
        <x:v>675</x:v>
      </x:c>
      <x:c r="G113" s="134" t="n">
        <x:v>1</x:v>
      </x:c>
      <x:c r="H113" s="134" t="n">
        <x:v>715</x:v>
      </x:c>
      <x:c r="I113" s="134" t="n">
        <x:v>305</x:v>
      </x:c>
      <x:c r="J113" s="133" t="n">
        <x:v>45.22454142947502</x:v>
      </x:c>
      <x:c r="K113" s="133" t="n">
        <x:v>45.18518518518518</x:v>
      </x:c>
      <x:c r="L113" s="133" t="n">
        <x:v>45.36082474226804</x:v>
      </x:c>
      <x:c r="M113" s="133" t="n">
        <x:v>45.353159851301115</x:v>
      </x:c>
      <x:c r="N113" s="133" t="n">
        <x:v>47.05882352941177</x:v>
      </x:c>
      <x:c r="O113" s="133" t="n">
        <x:v>44.95412844036697</x:v>
      </x:c>
      <x:c r="P113" s="132" t="n">
        <x:v>109</x:v>
      </x:c>
    </x:row>
    <x:row r="114">
      <x:c r="A114" s="136" t="str">
        <x:v>01087231800</x:v>
      </x:c>
      <x:c r="B114" s="132" t="str">
        <x:v>Macon County</x:v>
      </x:c>
      <x:c r="C114" s="132" t="n">
        <x:v>1</x:v>
      </x:c>
      <x:c r="D114" s="134" t="n">
        <x:v>1089</x:v>
      </x:c>
      <x:c r="E114" s="133" t="n">
        <x:v>21.7</x:v>
      </x:c>
      <x:c r="F114" s="134" t="n">
        <x:v>622</x:v>
      </x:c>
      <x:c r="G114" s="134" t="n">
        <x:v>1</x:v>
      </x:c>
      <x:c r="H114" s="134" t="n">
        <x:v>530</x:v>
      </x:c>
      <x:c r="I114" s="134" t="n">
        <x:v>303</x:v>
      </x:c>
      <x:c r="J114" s="133" t="n">
        <x:v>48.66850321395776</x:v>
      </x:c>
      <x:c r="K114" s="133" t="n">
        <x:v>48.71382636655949</x:v>
      </x:c>
      <x:c r="L114" s="133" t="n">
        <x:v>48.78048780487805</x:v>
      </x:c>
      <x:c r="M114" s="133" t="n">
        <x:v>48.89867841409691</x:v>
      </x:c>
      <x:c r="N114" s="133" t="n">
        <x:v>48.38709677419355</x:v>
      </x:c>
      <x:c r="O114" s="133" t="n">
        <x:v>48.38709677419355</x:v>
      </x:c>
      <x:c r="P114" s="132" t="n">
        <x:v>110</x:v>
      </x:c>
    </x:row>
    <x:row r="115">
      <x:c r="A115" s="136" t="str">
        <x:v>01017954800</x:v>
      </x:c>
      <x:c r="B115" s="132" t="str">
        <x:v>Chambers County</x:v>
      </x:c>
      <x:c r="C115" s="132" t="n">
        <x:v>1</x:v>
      </x:c>
      <x:c r="D115" s="134" t="n">
        <x:v>4907</x:v>
      </x:c>
      <x:c r="E115" s="133" t="n">
        <x:v>10.5</x:v>
      </x:c>
      <x:c r="F115" s="134" t="n">
        <x:v>2221</x:v>
      </x:c>
      <x:c r="G115" s="134" t="n">
        <x:v>1</x:v>
      </x:c>
      <x:c r="H115" s="134" t="n">
        <x:v>668</x:v>
      </x:c>
      <x:c r="I115" s="134" t="n">
        <x:v>302</x:v>
      </x:c>
      <x:c r="J115" s="133" t="n">
        <x:v>13.613205624617892</x:v>
      </x:c>
      <x:c r="K115" s="133" t="n">
        <x:v>13.59747861323728</x:v>
      </x:c>
      <x:c r="L115" s="133" t="n">
        <x:v>13.582497721057429</x:v>
      </x:c>
      <x:c r="M115" s="133" t="n">
        <x:v>13.613613613613614</x:v>
      </x:c>
      <x:c r="N115" s="133" t="n">
        <x:v>14.285714285714286</x:v>
      </x:c>
      <x:c r="O115" s="133" t="n">
        <x:v>13.71951219512195</x:v>
      </x:c>
      <x:c r="P115" s="132" t="n">
        <x:v>111</x:v>
      </x:c>
    </x:row>
    <x:row r="116">
      <x:c r="A116" s="136" t="str">
        <x:v>01047957000</x:v>
      </x:c>
      <x:c r="B116" s="132" t="str">
        <x:v>Dallas County</x:v>
      </x:c>
      <x:c r="C116" s="132" t="n">
        <x:v>0</x:v>
      </x:c>
      <x:c r="D116" s="134" t="n">
        <x:v>1080</x:v>
      </x:c>
      <x:c r="E116" s="133" t="n">
        <x:v>30.2</x:v>
      </x:c>
      <x:c r="F116" s="134" t="n">
        <x:v>477</x:v>
      </x:c>
      <x:c r="G116" s="134" t="n">
        <x:v>1</x:v>
      </x:c>
      <x:c r="H116" s="134" t="n">
        <x:v>680</x:v>
      </x:c>
      <x:c r="I116" s="134" t="n">
        <x:v>300</x:v>
      </x:c>
      <x:c r="J116" s="133" t="n">
        <x:v>62.96296296296296</x:v>
      </x:c>
      <x:c r="K116" s="133" t="n">
        <x:v>62.893081761006286</x:v>
      </x:c>
      <x:c r="L116" s="133" t="n">
        <x:v>63.133640552995395</x:v>
      </x:c>
      <x:c r="M116" s="133" t="n">
        <x:v>63.114754098360656</x:v>
      </x:c>
      <x:c r="N116" s="133" t="n">
        <x:v>62.5</x:v>
      </x:c>
      <x:c r="O116" s="133" t="n">
        <x:v>62.98342541436464</x:v>
      </x:c>
      <x:c r="P116" s="132" t="n">
        <x:v>112</x:v>
      </x:c>
    </x:row>
    <x:row r="117">
      <x:c r="A117" s="136" t="str">
        <x:v>01113030800</x:v>
      </x:c>
      <x:c r="B117" s="132" t="str">
        <x:v>Russell County</x:v>
      </x:c>
      <x:c r="C117" s="132" t="n">
        <x:v>1</x:v>
      </x:c>
      <x:c r="D117" s="134" t="n">
        <x:v>2981</x:v>
      </x:c>
      <x:c r="E117" s="133" t="n">
        <x:v>54.8</x:v>
      </x:c>
      <x:c r="F117" s="134" t="n">
        <x:v>802</x:v>
      </x:c>
      <x:c r="G117" s="134" t="n">
        <x:v>1</x:v>
      </x:c>
      <x:c r="H117" s="134" t="n">
        <x:v>1112</x:v>
      </x:c>
      <x:c r="I117" s="134" t="n">
        <x:v>299</x:v>
      </x:c>
      <x:c r="J117" s="133" t="n">
        <x:v>37.302918483730295</x:v>
      </x:c>
      <x:c r="K117" s="133" t="n">
        <x:v>37.281795511221944</x:v>
      </x:c>
      <x:c r="L117" s="133" t="n">
        <x:v>37.26790450928382</x:v>
      </x:c>
      <x:c r="M117" s="133" t="n">
        <x:v>37.27272727272727</x:v>
      </x:c>
      <x:c r="N117" s="133" t="n">
        <x:v>37.3134328358209</x:v>
      </x:c>
      <x:c r="O117" s="133" t="n">
        <x:v>37.21881390593047</x:v>
      </x:c>
      <x:c r="P117" s="132" t="n">
        <x:v>113</x:v>
      </x:c>
    </x:row>
    <x:row r="118">
      <x:c r="A118" s="136" t="str">
        <x:v>01005950800</x:v>
      </x:c>
      <x:c r="B118" s="132" t="str">
        <x:v>Barbour County</x:v>
      </x:c>
      <x:c r="C118" s="132" t="n">
        <x:v>1</x:v>
      </x:c>
      <x:c r="D118" s="134" t="n">
        <x:v>2175</x:v>
      </x:c>
      <x:c r="E118" s="133" t="n">
        <x:v>21.6</x:v>
      </x:c>
      <x:c r="F118" s="134" t="n">
        <x:v>996</x:v>
      </x:c>
      <x:c r="G118" s="134" t="n">
        <x:v>1</x:v>
      </x:c>
      <x:c r="H118" s="134" t="n">
        <x:v>633</x:v>
      </x:c>
      <x:c r="I118" s="134" t="n">
        <x:v>290</x:v>
      </x:c>
      <x:c r="J118" s="133" t="n">
        <x:v>29.103448275862068</x:v>
      </x:c>
      <x:c r="K118" s="133" t="n">
        <x:v>29.116465863453815</x:v>
      </x:c>
      <x:c r="L118" s="133" t="n">
        <x:v>29.116465863453815</x:v>
      </x:c>
      <x:c r="M118" s="133" t="n">
        <x:v>29.132231404958677</x:v>
      </x:c>
      <x:c r="N118" s="133" t="n">
        <x:v>28.767123287671232</x:v>
      </x:c>
      <x:c r="O118" s="133" t="n">
        <x:v>28.72340425531915</x:v>
      </x:c>
      <x:c r="P118" s="132" t="n">
        <x:v>114</x:v>
      </x:c>
    </x:row>
    <x:row r="119">
      <x:c r="A119" s="136" t="str">
        <x:v>01125012304</x:v>
      </x:c>
      <x:c r="B119" s="132" t="str">
        <x:v>Tuscaloosa County</x:v>
      </x:c>
      <x:c r="C119" s="132" t="n">
        <x:v>1</x:v>
      </x:c>
      <x:c r="D119" s="134" t="n">
        <x:v>3379</x:v>
      </x:c>
      <x:c r="E119" s="133" t="n">
        <x:v>42.1</x:v>
      </x:c>
      <x:c r="F119" s="134" t="n">
        <x:v>1457</x:v>
      </x:c>
      <x:c r="G119" s="134" t="n">
        <x:v>1</x:v>
      </x:c>
      <x:c r="H119" s="134" t="n">
        <x:v>663</x:v>
      </x:c>
      <x:c r="I119" s="134" t="n">
        <x:v>286</x:v>
      </x:c>
      <x:c r="J119" s="133" t="n">
        <x:v>19.621189701095</x:v>
      </x:c>
      <x:c r="K119" s="133" t="n">
        <x:v>19.629375428963623</x:v>
      </x:c>
      <x:c r="L119" s="133" t="n">
        <x:v>19.550858652575958</x:v>
      </x:c>
      <x:c r="M119" s="133" t="n">
        <x:v>19.525065963060687</x:v>
      </x:c>
      <x:c r="N119" s="133" t="n">
        <x:v>19.801980198019802</x:v>
      </x:c>
      <x:c r="O119" s="133" t="n">
        <x:v>19.747899159663866</x:v>
      </x:c>
      <x:c r="P119" s="132" t="n">
        <x:v>115</x:v>
      </x:c>
    </x:row>
    <x:row r="120">
      <x:c r="A120" s="136" t="str">
        <x:v>01023956900</x:v>
      </x:c>
      <x:c r="B120" s="132" t="str">
        <x:v>Choctaw County</x:v>
      </x:c>
      <x:c r="C120" s="132" t="n">
        <x:v>0</x:v>
      </x:c>
      <x:c r="D120" s="134" t="n">
        <x:v>3628</x:v>
      </x:c>
      <x:c r="E120" s="133" t="n">
        <x:v>16.9</x:v>
      </x:c>
      <x:c r="F120" s="134" t="n">
        <x:v>1999</x:v>
      </x:c>
      <x:c r="G120" s="134" t="n">
        <x:v>1</x:v>
      </x:c>
      <x:c r="H120" s="134" t="n">
        <x:v>518</x:v>
      </x:c>
      <x:c r="I120" s="134" t="n">
        <x:v>285</x:v>
      </x:c>
      <x:c r="J120" s="133" t="n">
        <x:v>14.277839029768467</x:v>
      </x:c>
      <x:c r="K120" s="133" t="n">
        <x:v>14.25712856428214</x:v>
      </x:c>
      <x:c r="L120" s="133" t="n">
        <x:v>14.304635761589404</x:v>
      </x:c>
      <x:c r="M120" s="133" t="n">
        <x:v>14.250309789343246</x:v>
      </x:c>
      <x:c r="N120" s="133" t="n">
        <x:v>14</x:v>
      </x:c>
      <x:c r="O120" s="133" t="n">
        <x:v>14.0625</x:v>
      </x:c>
      <x:c r="P120" s="132" t="n">
        <x:v>116</x:v>
      </x:c>
    </x:row>
    <x:row r="121">
      <x:c r="A121" s="136" t="str">
        <x:v>01073001200</x:v>
      </x:c>
      <x:c r="B121" s="132" t="str">
        <x:v>Jefferson County</x:v>
      </x:c>
      <x:c r="C121" s="132" t="n">
        <x:v>1</x:v>
      </x:c>
      <x:c r="D121" s="134" t="n">
        <x:v>2496</x:v>
      </x:c>
      <x:c r="E121" s="133" t="n">
        <x:v>27.4</x:v>
      </x:c>
      <x:c r="F121" s="134" t="n">
        <x:v>918</x:v>
      </x:c>
      <x:c r="G121" s="134" t="n">
        <x:v>1</x:v>
      </x:c>
      <x:c r="H121" s="134" t="n">
        <x:v>774</x:v>
      </x:c>
      <x:c r="I121" s="134" t="n">
        <x:v>285</x:v>
      </x:c>
      <x:c r="J121" s="133" t="n">
        <x:v>31.009615384615383</x:v>
      </x:c>
      <x:c r="K121" s="133" t="n">
        <x:v>31.045751633986928</x:v>
      </x:c>
      <x:c r="L121" s="133" t="n">
        <x:v>30.9255079006772</x:v>
      </x:c>
      <x:c r="M121" s="133" t="n">
        <x:v>31.059245960502693</x:v>
      </x:c>
      <x:c r="N121" s="133" t="n">
        <x:v>30.90909090909091</x:v>
      </x:c>
      <x:c r="O121" s="133" t="n">
        <x:v>31.132075471698112</x:v>
      </x:c>
      <x:c r="P121" s="132" t="n">
        <x:v>116</x:v>
      </x:c>
    </x:row>
    <x:row r="122">
      <x:c r="A122" s="136" t="str">
        <x:v>01073011002</x:v>
      </x:c>
      <x:c r="B122" s="132" t="str">
        <x:v>Jefferson County</x:v>
      </x:c>
      <x:c r="C122" s="132" t="n">
        <x:v>1</x:v>
      </x:c>
      <x:c r="D122" s="134" t="n">
        <x:v>1974</x:v>
      </x:c>
      <x:c r="E122" s="133" t="n">
        <x:v>29.9</x:v>
      </x:c>
      <x:c r="F122" s="134" t="n">
        <x:v>773</x:v>
      </x:c>
      <x:c r="G122" s="134" t="n">
        <x:v>1</x:v>
      </x:c>
      <x:c r="H122" s="134" t="n">
        <x:v>729</x:v>
      </x:c>
      <x:c r="I122" s="134" t="n">
        <x:v>285</x:v>
      </x:c>
      <x:c r="J122" s="133" t="n">
        <x:v>36.93009118541033</x:v>
      </x:c>
      <x:c r="K122" s="133" t="n">
        <x:v>36.86934023285899</x:v>
      </x:c>
      <x:c r="L122" s="133" t="n">
        <x:v>36.89956331877729</x:v>
      </x:c>
      <x:c r="M122" s="133" t="n">
        <x:v>37.08206686930091</x:v>
      </x:c>
      <x:c r="N122" s="133" t="n">
        <x:v>37.254901960784316</x:v>
      </x:c>
      <x:c r="O122" s="133" t="n">
        <x:v>36.78756476683938</x:v>
      </x:c>
      <x:c r="P122" s="132" t="n">
        <x:v>116</x:v>
      </x:c>
    </x:row>
    <x:row r="123">
      <x:c r="A123" s="136" t="str">
        <x:v>01011952500</x:v>
      </x:c>
      <x:c r="B123" s="132" t="str">
        <x:v>Bullock County</x:v>
      </x:c>
      <x:c r="C123" s="132" t="n">
        <x:v>0</x:v>
      </x:c>
      <x:c r="D123" s="134" t="n">
        <x:v>2321</x:v>
      </x:c>
      <x:c r="E123" s="133" t="n">
        <x:v>24</x:v>
      </x:c>
      <x:c r="F123" s="134" t="n">
        <x:v>1022</x:v>
      </x:c>
      <x:c r="G123" s="134" t="n">
        <x:v>1</x:v>
      </x:c>
      <x:c r="H123" s="134" t="n">
        <x:v>638</x:v>
      </x:c>
      <x:c r="I123" s="134" t="n">
        <x:v>281</x:v>
      </x:c>
      <x:c r="J123" s="133" t="n">
        <x:v>27.488151658767773</x:v>
      </x:c>
      <x:c r="K123" s="133" t="n">
        <x:v>27.495107632093934</x:v>
      </x:c>
      <x:c r="L123" s="133" t="n">
        <x:v>27.51196172248804</x:v>
      </x:c>
      <x:c r="M123" s="133" t="n">
        <x:v>27.538726333907057</x:v>
      </x:c>
      <x:c r="N123" s="133" t="n">
        <x:v>27.142857142857142</x:v>
      </x:c>
      <x:c r="O123" s="133" t="n">
        <x:v>27.488151658767773</x:v>
      </x:c>
      <x:c r="P123" s="132" t="n">
        <x:v>119</x:v>
      </x:c>
    </x:row>
    <x:row r="124">
      <x:c r="A124" s="136" t="str">
        <x:v>01089002400</x:v>
      </x:c>
      <x:c r="B124" s="132" t="str">
        <x:v>Madison County</x:v>
      </x:c>
      <x:c r="C124" s="132" t="n">
        <x:v>1</x:v>
      </x:c>
      <x:c r="D124" s="134" t="n">
        <x:v>5064</x:v>
      </x:c>
      <x:c r="E124" s="133" t="n">
        <x:v>22.4</x:v>
      </x:c>
      <x:c r="F124" s="134" t="n">
        <x:v>1965</x:v>
      </x:c>
      <x:c r="G124" s="134" t="n">
        <x:v>1</x:v>
      </x:c>
      <x:c r="H124" s="134" t="n">
        <x:v>721</x:v>
      </x:c>
      <x:c r="I124" s="134" t="n">
        <x:v>280</x:v>
      </x:c>
      <x:c r="J124" s="133" t="n">
        <x:v>14.237756714060032</x:v>
      </x:c>
      <x:c r="K124" s="133" t="n">
        <x:v>14.249363867684478</x:v>
      </x:c>
      <x:c r="L124" s="133" t="n">
        <x:v>14.216478190630049</x:v>
      </x:c>
      <x:c r="M124" s="133" t="n">
        <x:v>14.256198347107437</x:v>
      </x:c>
      <x:c r="N124" s="133" t="n">
        <x:v>14.410480349344978</x:v>
      </x:c>
      <x:c r="O124" s="133" t="n">
        <x:v>14.285714285714286</x:v>
      </x:c>
      <x:c r="P124" s="132" t="n">
        <x:v>120</x:v>
      </x:c>
    </x:row>
    <x:row r="125">
      <x:c r="A125" s="136" t="str">
        <x:v>01055000200</x:v>
      </x:c>
      <x:c r="B125" s="132" t="str">
        <x:v>Etowah County</x:v>
      </x:c>
      <x:c r="C125" s="132" t="n">
        <x:v>1</x:v>
      </x:c>
      <x:c r="D125" s="134" t="n">
        <x:v>3080</x:v>
      </x:c>
      <x:c r="E125" s="133" t="n">
        <x:v>35</x:v>
      </x:c>
      <x:c r="F125" s="134" t="n">
        <x:v>1370</x:v>
      </x:c>
      <x:c r="G125" s="134" t="n">
        <x:v>1</x:v>
      </x:c>
      <x:c r="H125" s="134" t="n">
        <x:v>615</x:v>
      </x:c>
      <x:c r="I125" s="134" t="n">
        <x:v>273</x:v>
      </x:c>
      <x:c r="J125" s="133" t="n">
        <x:v>19.967532467532468</x:v>
      </x:c>
      <x:c r="K125" s="133" t="n">
        <x:v>19.927007299270073</x:v>
      </x:c>
      <x:c r="L125" s="133" t="n">
        <x:v>19.969742813918305</x:v>
      </x:c>
      <x:c r="M125" s="133" t="n">
        <x:v>19.94261119081779</x:v>
      </x:c>
      <x:c r="N125" s="133" t="n">
        <x:v>20</x:v>
      </x:c>
      <x:c r="O125" s="133" t="n">
        <x:v>19.949494949494948</x:v>
      </x:c>
      <x:c r="P125" s="132" t="n">
        <x:v>121</x:v>
      </x:c>
    </x:row>
    <x:row r="126">
      <x:c r="A126" s="136" t="str">
        <x:v>01121012000</x:v>
      </x:c>
      <x:c r="B126" s="132" t="str">
        <x:v>Talladega County</x:v>
      </x:c>
      <x:c r="C126" s="132" t="n">
        <x:v>1</x:v>
      </x:c>
      <x:c r="D126" s="134" t="n">
        <x:v>2285</x:v>
      </x:c>
      <x:c r="E126" s="133" t="n">
        <x:v>29.5</x:v>
      </x:c>
      <x:c r="F126" s="134" t="n">
        <x:v>837</x:v>
      </x:c>
      <x:c r="G126" s="134" t="n">
        <x:v>1</x:v>
      </x:c>
      <x:c r="H126" s="134" t="n">
        <x:v>736</x:v>
      </x:c>
      <x:c r="I126" s="134" t="n">
        <x:v>270</x:v>
      </x:c>
      <x:c r="J126" s="133" t="n">
        <x:v>32.21006564551422</x:v>
      </x:c>
      <x:c r="K126" s="133" t="n">
        <x:v>32.25806451612903</x:v>
      </x:c>
      <x:c r="L126" s="133" t="n">
        <x:v>32.14990138067061</x:v>
      </x:c>
      <x:c r="M126" s="133" t="n">
        <x:v>32.11845102505695</x:v>
      </x:c>
      <x:c r="N126" s="133" t="n">
        <x:v>32.142857142857146</x:v>
      </x:c>
      <x:c r="O126" s="133" t="n">
        <x:v>32.38095238095238</x:v>
      </x:c>
      <x:c r="P126" s="132" t="n">
        <x:v>122</x:v>
      </x:c>
    </x:row>
    <x:row r="127">
      <x:c r="A127" s="136" t="str">
        <x:v>01081041103</x:v>
      </x:c>
      <x:c r="B127" s="132" t="str">
        <x:v>Lee County</x:v>
      </x:c>
      <x:c r="C127" s="132" t="n">
        <x:v>1</x:v>
      </x:c>
      <x:c r="D127" s="134" t="n">
        <x:v>2280</x:v>
      </x:c>
      <x:c r="E127" s="133" t="n">
        <x:v>20.2</x:v>
      </x:c>
      <x:c r="F127" s="134" t="n">
        <x:v>1130</x:v>
      </x:c>
      <x:c r="G127" s="134" t="n">
        <x:v>1</x:v>
      </x:c>
      <x:c r="H127" s="134" t="n">
        <x:v>543</x:v>
      </x:c>
      <x:c r="I127" s="134" t="n">
        <x:v>269</x:v>
      </x:c>
      <x:c r="J127" s="133" t="n">
        <x:v>23.81578947368421</x:v>
      </x:c>
      <x:c r="K127" s="133" t="n">
        <x:v>23.805309734513273</x:v>
      </x:c>
      <x:c r="L127" s="133" t="n">
        <x:v>23.754152823920265</x:v>
      </x:c>
      <x:c r="M127" s="133" t="n">
        <x:v>23.783783783783782</x:v>
      </x:c>
      <x:c r="N127" s="133" t="n">
        <x:v>24</x:v>
      </x:c>
      <x:c r="O127" s="133" t="n">
        <x:v>24.242424242424242</x:v>
      </x:c>
      <x:c r="P127" s="132" t="n">
        <x:v>123</x:v>
      </x:c>
    </x:row>
    <x:row r="128">
      <x:c r="A128" s="136" t="str">
        <x:v>01101005613</x:v>
      </x:c>
      <x:c r="B128" s="132" t="str">
        <x:v>Montgomery County</x:v>
      </x:c>
      <x:c r="C128" s="132" t="n">
        <x:v>1</x:v>
      </x:c>
      <x:c r="D128" s="134" t="n">
        <x:v>4832</x:v>
      </x:c>
      <x:c r="E128" s="133" t="n">
        <x:v>52.8</x:v>
      </x:c>
      <x:c r="F128" s="134" t="n">
        <x:v>1526</x:v>
      </x:c>
      <x:c r="G128" s="134" t="n">
        <x:v>1</x:v>
      </x:c>
      <x:c r="H128" s="134" t="n">
        <x:v>832</x:v>
      </x:c>
      <x:c r="I128" s="134" t="n">
        <x:v>263</x:v>
      </x:c>
      <x:c r="J128" s="133" t="n">
        <x:v>17.218543046357617</x:v>
      </x:c>
      <x:c r="K128" s="133" t="n">
        <x:v>17.234600262123198</x:v>
      </x:c>
      <x:c r="L128" s="133" t="n">
        <x:v>17.194570135746606</x:v>
      </x:c>
      <x:c r="M128" s="133" t="n">
        <x:v>17.121588089330025</x:v>
      </x:c>
      <x:c r="N128" s="133" t="n">
        <x:v>16.901408450704224</x:v>
      </x:c>
      <x:c r="O128" s="133" t="n">
        <x:v>17.142857142857142</x:v>
      </x:c>
      <x:c r="P128" s="132" t="n">
        <x:v>124</x:v>
      </x:c>
    </x:row>
    <x:row r="129">
      <x:c r="A129" s="136" t="str">
        <x:v>01081040605</x:v>
      </x:c>
      <x:c r="B129" s="132" t="str">
        <x:v>Lee County</x:v>
      </x:c>
      <x:c r="C129" s="132" t="n">
        <x:v>1</x:v>
      </x:c>
      <x:c r="D129" s="134" t="n">
        <x:v>1754</x:v>
      </x:c>
      <x:c r="E129" s="133" t="n">
        <x:v>41.9</x:v>
      </x:c>
      <x:c r="F129" s="134" t="n">
        <x:v>567</x:v>
      </x:c>
      <x:c r="G129" s="134" t="n">
        <x:v>1</x:v>
      </x:c>
      <x:c r="H129" s="134" t="n">
        <x:v>806</x:v>
      </x:c>
      <x:c r="I129" s="134" t="n">
        <x:v>261</x:v>
      </x:c>
      <x:c r="J129" s="133" t="n">
        <x:v>45.9521094640821</x:v>
      </x:c>
      <x:c r="K129" s="133" t="n">
        <x:v>46.03174603174603</x:v>
      </x:c>
      <x:c r="L129" s="133" t="n">
        <x:v>45.89041095890411</x:v>
      </x:c>
      <x:c r="M129" s="133" t="n">
        <x:v>45.45454545454545</x:v>
      </x:c>
      <x:c r="N129" s="133" t="n">
        <x:v>42.857142857142854</x:v>
      </x:c>
      <x:c r="O129" s="133" t="n">
        <x:v>46.42857142857143</x:v>
      </x:c>
      <x:c r="P129" s="132" t="n">
        <x:v>125</x:v>
      </x:c>
    </x:row>
    <x:row r="130">
      <x:c r="A130" s="136" t="str">
        <x:v>01113030601</x:v>
      </x:c>
      <x:c r="B130" s="132" t="str">
        <x:v>Russell County</x:v>
      </x:c>
      <x:c r="C130" s="132" t="n">
        <x:v>1</x:v>
      </x:c>
      <x:c r="D130" s="134" t="n">
        <x:v>3717</x:v>
      </x:c>
      <x:c r="E130" s="133" t="n">
        <x:v>24.3</x:v>
      </x:c>
      <x:c r="F130" s="134" t="n">
        <x:v>1156</x:v>
      </x:c>
      <x:c r="G130" s="134" t="n">
        <x:v>1</x:v>
      </x:c>
      <x:c r="H130" s="134" t="n">
        <x:v>830</x:v>
      </x:c>
      <x:c r="I130" s="134" t="n">
        <x:v>258</x:v>
      </x:c>
      <x:c r="J130" s="133" t="n">
        <x:v>22.329835889157923</x:v>
      </x:c>
      <x:c r="K130" s="133" t="n">
        <x:v>22.31833910034602</x:v>
      </x:c>
      <x:c r="L130" s="133" t="n">
        <x:v>22.321428571428573</x:v>
      </x:c>
      <x:c r="M130" s="133" t="n">
        <x:v>22.429906542056074</x:v>
      </x:c>
      <x:c r="N130" s="133" t="n">
        <x:v>22.54901960784314</x:v>
      </x:c>
      <x:c r="O130" s="133" t="n">
        <x:v>22.478386167146976</x:v>
      </x:c>
      <x:c r="P130" s="132" t="n">
        <x:v>126</x:v>
      </x:c>
    </x:row>
    <x:row r="131">
      <x:c r="A131" s="136" t="str">
        <x:v>01089000502</x:v>
      </x:c>
      <x:c r="B131" s="132" t="str">
        <x:v>Madison County</x:v>
      </x:c>
      <x:c r="C131" s="132" t="n">
        <x:v>1</x:v>
      </x:c>
      <x:c r="D131" s="134" t="n">
        <x:v>2291</x:v>
      </x:c>
      <x:c r="E131" s="133" t="n">
        <x:v>17.5</x:v>
      </x:c>
      <x:c r="F131" s="134" t="n">
        <x:v>907</x:v>
      </x:c>
      <x:c r="G131" s="134" t="n">
        <x:v>1</x:v>
      </x:c>
      <x:c r="H131" s="134" t="n">
        <x:v>631</x:v>
      </x:c>
      <x:c r="I131" s="134" t="n">
        <x:v>250</x:v>
      </x:c>
      <x:c r="J131" s="133" t="n">
        <x:v>27.542557835006548</x:v>
      </x:c>
      <x:c r="K131" s="133" t="n">
        <x:v>27.563395810363836</x:v>
      </x:c>
      <x:c r="L131" s="133" t="n">
        <x:v>27.57281553398058</x:v>
      </x:c>
      <x:c r="M131" s="133" t="n">
        <x:v>27.543424317617866</x:v>
      </x:c>
      <x:c r="N131" s="133" t="n">
        <x:v>28.07017543859649</x:v>
      </x:c>
      <x:c r="O131" s="133" t="n">
        <x:v>27.67295597484277</x:v>
      </x:c>
      <x:c r="P131" s="132" t="n">
        <x:v>127</x:v>
      </x:c>
    </x:row>
    <x:row r="132">
      <x:c r="A132" s="136" t="str">
        <x:v>01131034801</x:v>
      </x:c>
      <x:c r="B132" s="132" t="str">
        <x:v>Wilcox County</x:v>
      </x:c>
      <x:c r="C132" s="132" t="n">
        <x:v>0</x:v>
      </x:c>
      <x:c r="D132" s="134" t="n">
        <x:v>2155</x:v>
      </x:c>
      <x:c r="E132" s="133" t="n">
        <x:v>20.7</x:v>
      </x:c>
      <x:c r="F132" s="134" t="n">
        <x:v>916</x:v>
      </x:c>
      <x:c r="G132" s="134" t="n">
        <x:v>1</x:v>
      </x:c>
      <x:c r="H132" s="134" t="n">
        <x:v>587</x:v>
      </x:c>
      <x:c r="I132" s="134" t="n">
        <x:v>250</x:v>
      </x:c>
      <x:c r="J132" s="133" t="n">
        <x:v>27.238979118329468</x:v>
      </x:c>
      <x:c r="K132" s="133" t="n">
        <x:v>27.292576419213972</x:v>
      </x:c>
      <x:c r="L132" s="133" t="n">
        <x:v>27.34225621414914</x:v>
      </x:c>
      <x:c r="M132" s="133" t="n">
        <x:v>27.29591836734694</x:v>
      </x:c>
      <x:c r="N132" s="133" t="n">
        <x:v>26.923076923076923</x:v>
      </x:c>
      <x:c r="O132" s="133" t="n">
        <x:v>27.090301003344482</x:v>
      </x:c>
      <x:c r="P132" s="132" t="n">
        <x:v>127</x:v>
      </x:c>
    </x:row>
    <x:row r="133">
      <x:c r="A133" s="136" t="str">
        <x:v>01097002100</x:v>
      </x:c>
      <x:c r="B133" s="132" t="str">
        <x:v>Mobile County</x:v>
      </x:c>
      <x:c r="C133" s="132" t="n">
        <x:v>1</x:v>
      </x:c>
      <x:c r="D133" s="134" t="n">
        <x:v>3778</x:v>
      </x:c>
      <x:c r="E133" s="133" t="n">
        <x:v>46.4</x:v>
      </x:c>
      <x:c r="F133" s="134" t="n">
        <x:v>1523</x:v>
      </x:c>
      <x:c r="G133" s="134" t="n">
        <x:v>1</x:v>
      </x:c>
      <x:c r="H133" s="134" t="n">
        <x:v>604</x:v>
      </x:c>
      <x:c r="I133" s="134" t="n">
        <x:v>244</x:v>
      </x:c>
      <x:c r="J133" s="133" t="n">
        <x:v>15.987294865007941</x:v>
      </x:c>
      <x:c r="K133" s="133" t="n">
        <x:v>16.021011162179907</x:v>
      </x:c>
      <x:c r="L133" s="133" t="n">
        <x:v>16.017316017316016</x:v>
      </x:c>
      <x:c r="M133" s="133" t="n">
        <x:v>16</x:v>
      </x:c>
      <x:c r="N133" s="133" t="n">
        <x:v>15.862068965517242</x:v>
      </x:c>
      <x:c r="O133" s="133" t="n">
        <x:v>15.985790408525755</x:v>
      </x:c>
      <x:c r="P133" s="132" t="n">
        <x:v>129</x:v>
      </x:c>
    </x:row>
    <x:row r="134">
      <x:c r="A134" s="136" t="str">
        <x:v>01015001102</x:v>
      </x:c>
      <x:c r="B134" s="132" t="str">
        <x:v>Calhoun County</x:v>
      </x:c>
      <x:c r="C134" s="132" t="n">
        <x:v>1</x:v>
      </x:c>
      <x:c r="D134" s="134" t="n">
        <x:v>1442</x:v>
      </x:c>
      <x:c r="E134" s="133" t="n">
        <x:v>40.7</x:v>
      </x:c>
      <x:c r="F134" s="134" t="n">
        <x:v>574</x:v>
      </x:c>
      <x:c r="G134" s="134" t="n">
        <x:v>1</x:v>
      </x:c>
      <x:c r="H134" s="134" t="n">
        <x:v>609</x:v>
      </x:c>
      <x:c r="I134" s="134" t="n">
        <x:v>243</x:v>
      </x:c>
      <x:c r="J134" s="133" t="n">
        <x:v>42.23300970873787</x:v>
      </x:c>
      <x:c r="K134" s="133" t="n">
        <x:v>42.33449477351916</x:v>
      </x:c>
      <x:c r="L134" s="133" t="n">
        <x:v>42.19948849104859</x:v>
      </x:c>
      <x:c r="M134" s="133" t="n">
        <x:v>41.988950276243095</x:v>
      </x:c>
      <x:c r="N134" s="133" t="n">
        <x:v>42.857142857142854</x:v>
      </x:c>
      <x:c r="O134" s="133" t="n">
        <x:v>42.5</x:v>
      </x:c>
      <x:c r="P134" s="132" t="n">
        <x:v>130</x:v>
      </x:c>
    </x:row>
    <x:row r="135">
      <x:c r="A135" s="136" t="str">
        <x:v>01073013601</x:v>
      </x:c>
      <x:c r="B135" s="132" t="str">
        <x:v>Jefferson County</x:v>
      </x:c>
      <x:c r="C135" s="132" t="n">
        <x:v>1</x:v>
      </x:c>
      <x:c r="D135" s="134" t="n">
        <x:v>2918</x:v>
      </x:c>
      <x:c r="E135" s="133" t="n">
        <x:v>34.3</x:v>
      </x:c>
      <x:c r="F135" s="134" t="n">
        <x:v>1224</x:v>
      </x:c>
      <x:c r="G135" s="134" t="n">
        <x:v>1</x:v>
      </x:c>
      <x:c r="H135" s="134" t="n">
        <x:v>578</x:v>
      </x:c>
      <x:c r="I135" s="134" t="n">
        <x:v>242</x:v>
      </x:c>
      <x:c r="J135" s="133" t="n">
        <x:v>19.808087731322825</x:v>
      </x:c>
      <x:c r="K135" s="133" t="n">
        <x:v>19.77124183006536</x:v>
      </x:c>
      <x:c r="L135" s="133" t="n">
        <x:v>19.728915662650603</x:v>
      </x:c>
      <x:c r="M135" s="133" t="n">
        <x:v>19.753086419753085</x:v>
      </x:c>
      <x:c r="N135" s="133" t="n">
        <x:v>19.607843137254903</x:v>
      </x:c>
      <x:c r="O135" s="133" t="n">
        <x:v>19.9203187250996</x:v>
      </x:c>
      <x:c r="P135" s="132" t="n">
        <x:v>131</x:v>
      </x:c>
    </x:row>
    <x:row r="136">
      <x:c r="A136" s="136" t="str">
        <x:v>01099075700</x:v>
      </x:c>
      <x:c r="B136" s="132" t="str">
        <x:v>Monroe County</x:v>
      </x:c>
      <x:c r="C136" s="132" t="n">
        <x:v>0</x:v>
      </x:c>
      <x:c r="D136" s="134" t="n">
        <x:v>1428</x:v>
      </x:c>
      <x:c r="E136" s="133" t="n">
        <x:v>11.1</x:v>
      </x:c>
      <x:c r="F136" s="134" t="n">
        <x:v>706</x:v>
      </x:c>
      <x:c r="G136" s="134" t="n">
        <x:v>1</x:v>
      </x:c>
      <x:c r="H136" s="134" t="n">
        <x:v>473</x:v>
      </x:c>
      <x:c r="I136" s="134" t="n">
        <x:v>234</x:v>
      </x:c>
      <x:c r="J136" s="133" t="n">
        <x:v>33.12324929971989</x:v>
      </x:c>
      <x:c r="K136" s="133" t="n">
        <x:v>33.14447592067989</x:v>
      </x:c>
      <x:c r="L136" s="133" t="n">
        <x:v>33.096085409252666</x:v>
      </x:c>
      <x:c r="M136" s="133" t="n">
        <x:v>33.033033033033036</x:v>
      </x:c>
      <x:c r="N136" s="133" t="n">
        <x:v>33.333333333333336</x:v>
      </x:c>
      <x:c r="O136" s="133" t="n">
        <x:v>32.53012048192771</x:v>
      </x:c>
      <x:c r="P136" s="132" t="n">
        <x:v>132</x:v>
      </x:c>
    </x:row>
    <x:row r="137">
      <x:c r="A137" s="136" t="str">
        <x:v>01043965002</x:v>
      </x:c>
      <x:c r="B137" s="132" t="str">
        <x:v>Cullman County</x:v>
      </x:c>
      <x:c r="C137" s="132" t="n">
        <x:v>1</x:v>
      </x:c>
      <x:c r="D137" s="134" t="n">
        <x:v>4751</x:v>
      </x:c>
      <x:c r="E137" s="133" t="n">
        <x:v>38.6</x:v>
      </x:c>
      <x:c r="F137" s="134" t="n">
        <x:v>1956</x:v>
      </x:c>
      <x:c r="G137" s="134" t="n">
        <x:v>1</x:v>
      </x:c>
      <x:c r="H137" s="134" t="n">
        <x:v>555</x:v>
      </x:c>
      <x:c r="I137" s="134" t="n">
        <x:v>229</x:v>
      </x:c>
      <x:c r="J137" s="133" t="n">
        <x:v>11.681751210271521</x:v>
      </x:c>
      <x:c r="K137" s="133" t="n">
        <x:v>11.707566462167689</x:v>
      </x:c>
      <x:c r="L137" s="133" t="n">
        <x:v>11.72901921132457</x:v>
      </x:c>
      <x:c r="M137" s="133" t="n">
        <x:v>11.68091168091168</x:v>
      </x:c>
      <x:c r="N137" s="133" t="n">
        <x:v>11.594202898550725</x:v>
      </x:c>
      <x:c r="O137" s="133" t="n">
        <x:v>11.647727272727273</x:v>
      </x:c>
      <x:c r="P137" s="132" t="n">
        <x:v>133</x:v>
      </x:c>
    </x:row>
    <x:row r="138">
      <x:c r="A138" s="136" t="str">
        <x:v>01055000900</x:v>
      </x:c>
      <x:c r="B138" s="132" t="str">
        <x:v>Etowah County</x:v>
      </x:c>
      <x:c r="C138" s="132" t="n">
        <x:v>1</x:v>
      </x:c>
      <x:c r="D138" s="134" t="n">
        <x:v>2506</x:v>
      </x:c>
      <x:c r="E138" s="133" t="n">
        <x:v>35.8</x:v>
      </x:c>
      <x:c r="F138" s="134" t="n">
        <x:v>568</x:v>
      </x:c>
      <x:c r="G138" s="134" t="n">
        <x:v>1</x:v>
      </x:c>
      <x:c r="H138" s="134" t="n">
        <x:v>1007</x:v>
      </x:c>
      <x:c r="I138" s="134" t="n">
        <x:v>228</x:v>
      </x:c>
      <x:c r="J138" s="133" t="n">
        <x:v>40.18355945730247</x:v>
      </x:c>
      <x:c r="K138" s="133" t="n">
        <x:v>40.140845070422536</x:v>
      </x:c>
      <x:c r="L138" s="133" t="n">
        <x:v>40.20442930153322</x:v>
      </x:c>
      <x:c r="M138" s="133" t="n">
        <x:v>40.085287846481876</x:v>
      </x:c>
      <x:c r="N138" s="133" t="n">
        <x:v>39.784946236559136</x:v>
      </x:c>
      <x:c r="O138" s="133" t="n">
        <x:v>40.27777777777778</x:v>
      </x:c>
      <x:c r="P138" s="132" t="n">
        <x:v>134</x:v>
      </x:c>
    </x:row>
    <x:row r="139">
      <x:c r="A139" s="136" t="str">
        <x:v>01105687001</x:v>
      </x:c>
      <x:c r="B139" s="132" t="str">
        <x:v>Perry County</x:v>
      </x:c>
      <x:c r="C139" s="132" t="n">
        <x:v>0</x:v>
      </x:c>
      <x:c r="D139" s="134" t="n">
        <x:v>1123</x:v>
      </x:c>
      <x:c r="E139" s="133" t="n">
        <x:v>46</x:v>
      </x:c>
      <x:c r="F139" s="134" t="n">
        <x:v>531</x:v>
      </x:c>
      <x:c r="G139" s="134" t="n">
        <x:v>1</x:v>
      </x:c>
      <x:c r="H139" s="134" t="n">
        <x:v>477</x:v>
      </x:c>
      <x:c r="I139" s="134" t="n">
        <x:v>225</x:v>
      </x:c>
      <x:c r="J139" s="133" t="n">
        <x:v>42.47551202137133</x:v>
      </x:c>
      <x:c r="K139" s="133" t="n">
        <x:v>42.3728813559322</x:v>
      </x:c>
      <x:c r="L139" s="133" t="n">
        <x:v>42.364532019704434</x:v>
      </x:c>
      <x:c r="M139" s="133" t="n">
        <x:v>42.2680412371134</x:v>
      </x:c>
      <x:c r="N139" s="133" t="n">
        <x:v>40</x:v>
      </x:c>
      <x:c r="O139" s="133" t="n">
        <x:v>42.74809160305343</x:v>
      </x:c>
      <x:c r="P139" s="132" t="n">
        <x:v>135</x:v>
      </x:c>
    </x:row>
    <x:row r="140">
      <x:c r="A140" s="136" t="str">
        <x:v>01101003000</x:v>
      </x:c>
      <x:c r="B140" s="132" t="str">
        <x:v>Montgomery County</x:v>
      </x:c>
      <x:c r="C140" s="132" t="n">
        <x:v>1</x:v>
      </x:c>
      <x:c r="D140" s="134" t="n">
        <x:v>1904</x:v>
      </x:c>
      <x:c r="E140" s="133" t="n">
        <x:v>38.9</x:v>
      </x:c>
      <x:c r="F140" s="134" t="n">
        <x:v>463</x:v>
      </x:c>
      <x:c r="G140" s="134" t="n">
        <x:v>1</x:v>
      </x:c>
      <x:c r="H140" s="134" t="n">
        <x:v>846</x:v>
      </x:c>
      <x:c r="I140" s="134" t="n">
        <x:v>206</x:v>
      </x:c>
      <x:c r="J140" s="133" t="n">
        <x:v>44.4327731092437</x:v>
      </x:c>
      <x:c r="K140" s="133" t="n">
        <x:v>44.49244060475162</x:v>
      </x:c>
      <x:c r="L140" s="133" t="n">
        <x:v>44.44444444444444</x:v>
      </x:c>
      <x:c r="M140" s="133" t="n">
        <x:v>44.26229508196721</x:v>
      </x:c>
      <x:c r="N140" s="133" t="n">
        <x:v>43.58974358974359</x:v>
      </x:c>
      <x:c r="O140" s="133" t="n">
        <x:v>44.44444444444444</x:v>
      </x:c>
      <x:c r="P140" s="132" t="n">
        <x:v>136</x:v>
      </x:c>
    </x:row>
    <x:row r="141">
      <x:c r="A141" s="136" t="str">
        <x:v>01081040606</x:v>
      </x:c>
      <x:c r="B141" s="132" t="str">
        <x:v>Lee County</x:v>
      </x:c>
      <x:c r="C141" s="132" t="n">
        <x:v>1</x:v>
      </x:c>
      <x:c r="D141" s="134" t="n">
        <x:v>2855</x:v>
      </x:c>
      <x:c r="E141" s="133" t="n">
        <x:v>59.9</x:v>
      </x:c>
      <x:c r="F141" s="134" t="n">
        <x:v>521</x:v>
      </x:c>
      <x:c r="G141" s="134" t="n">
        <x:v>1</x:v>
      </x:c>
      <x:c r="H141" s="134" t="n">
        <x:v>1110</x:v>
      </x:c>
      <x:c r="I141" s="134" t="n">
        <x:v>203</x:v>
      </x:c>
      <x:c r="J141" s="133" t="n">
        <x:v>38.879159369527144</x:v>
      </x:c>
      <x:c r="K141" s="133" t="n">
        <x:v>38.963531669865645</x:v>
      </x:c>
      <x:c r="L141" s="133" t="n">
        <x:v>38.996138996138995</x:v>
      </x:c>
      <x:c r="M141" s="133" t="n">
        <x:v>37.5</x:v>
      </x:c>
      <x:c r="N141" s="133" t="n">
        <x:v>38.35616438356164</x:v>
      </x:c>
      <x:c r="O141" s="133" t="n">
        <x:v>38.297872340425535</x:v>
      </x:c>
      <x:c r="P141" s="132" t="n">
        <x:v>137</x:v>
      </x:c>
    </x:row>
    <x:row r="142">
      <x:c r="A142" s="136" t="str">
        <x:v>01119011500</x:v>
      </x:c>
      <x:c r="B142" s="132" t="str">
        <x:v>Sumter County</x:v>
      </x:c>
      <x:c r="C142" s="132" t="n">
        <x:v>0</x:v>
      </x:c>
      <x:c r="D142" s="134" t="n">
        <x:v>4054</x:v>
      </x:c>
      <x:c r="E142" s="133" t="n">
        <x:v>31.8</x:v>
      </x:c>
      <x:c r="F142" s="134" t="n">
        <x:v>1223</x:v>
      </x:c>
      <x:c r="G142" s="134" t="n">
        <x:v>1</x:v>
      </x:c>
      <x:c r="H142" s="134" t="n">
        <x:v>665</x:v>
      </x:c>
      <x:c r="I142" s="134" t="n">
        <x:v>201</x:v>
      </x:c>
      <x:c r="J142" s="133" t="n">
        <x:v>16.40355204736063</x:v>
      </x:c>
      <x:c r="K142" s="133" t="n">
        <x:v>16.43499591169256</x:v>
      </x:c>
      <x:c r="L142" s="133" t="n">
        <x:v>16.42935377875137</x:v>
      </x:c>
      <x:c r="M142" s="133" t="n">
        <x:v>16.41025641025641</x:v>
      </x:c>
      <x:c r="N142" s="133" t="n">
        <x:v>16.8141592920354</x:v>
      </x:c>
      <x:c r="O142" s="133" t="n">
        <x:v>16.330645161290324</x:v>
      </x:c>
      <x:c r="P142" s="132" t="n">
        <x:v>138</x:v>
      </x:c>
    </x:row>
    <x:row r="143">
      <x:c r="A143" s="136" t="str">
        <x:v>01073000800</x:v>
      </x:c>
      <x:c r="B143" s="132" t="str">
        <x:v>Jefferson County</x:v>
      </x:c>
      <x:c r="C143" s="132" t="n">
        <x:v>1</x:v>
      </x:c>
      <x:c r="D143" s="134" t="n">
        <x:v>3306</x:v>
      </x:c>
      <x:c r="E143" s="133" t="n">
        <x:v>33.7</x:v>
      </x:c>
      <x:c r="F143" s="134" t="n">
        <x:v>840</x:v>
      </x:c>
      <x:c r="G143" s="134" t="n">
        <x:v>1</x:v>
      </x:c>
      <x:c r="H143" s="134" t="n">
        <x:v>788</x:v>
      </x:c>
      <x:c r="I143" s="134" t="n">
        <x:v>200</x:v>
      </x:c>
      <x:c r="J143" s="133" t="n">
        <x:v>23.83545069570478</x:v>
      </x:c>
      <x:c r="K143" s="133" t="n">
        <x:v>23.80952380952381</x:v>
      </x:c>
      <x:c r="L143" s="133" t="n">
        <x:v>23.875432525951556</x:v>
      </x:c>
      <x:c r="M143" s="133" t="n">
        <x:v>23.792270531400966</x:v>
      </x:c>
      <x:c r="N143" s="133" t="n">
        <x:v>23.728813559322035</x:v>
      </x:c>
      <x:c r="O143" s="133" t="n">
        <x:v>23.75366568914956</x:v>
      </x:c>
      <x:c r="P143" s="132" t="n">
        <x:v>139</x:v>
      </x:c>
    </x:row>
    <x:row r="144">
      <x:c r="A144" s="136" t="str">
        <x:v>01101005902</x:v>
      </x:c>
      <x:c r="B144" s="132" t="str">
        <x:v>Montgomery County</x:v>
      </x:c>
      <x:c r="C144" s="132" t="n">
        <x:v>1</x:v>
      </x:c>
      <x:c r="D144" s="134" t="n">
        <x:v>3212</x:v>
      </x:c>
      <x:c r="E144" s="133" t="n">
        <x:v>36</x:v>
      </x:c>
      <x:c r="F144" s="134" t="n">
        <x:v>806</x:v>
      </x:c>
      <x:c r="G144" s="134" t="n">
        <x:v>1</x:v>
      </x:c>
      <x:c r="H144" s="134" t="n">
        <x:v>785</x:v>
      </x:c>
      <x:c r="I144" s="134" t="n">
        <x:v>197</x:v>
      </x:c>
      <x:c r="J144" s="133" t="n">
        <x:v>24.439601494396015</x:v>
      </x:c>
      <x:c r="K144" s="133" t="n">
        <x:v>24.441687344913152</x:v>
      </x:c>
      <x:c r="L144" s="133" t="n">
        <x:v>24.415584415584416</x:v>
      </x:c>
      <x:c r="M144" s="133" t="n">
        <x:v>24.41700960219479</x:v>
      </x:c>
      <x:c r="N144" s="133" t="n">
        <x:v>26.31578947368421</x:v>
      </x:c>
      <x:c r="O144" s="133" t="n">
        <x:v>24.369747899159663</x:v>
      </x:c>
      <x:c r="P144" s="132" t="n">
        <x:v>140</x:v>
      </x:c>
    </x:row>
    <x:row r="145">
      <x:c r="A145" s="136" t="str">
        <x:v>01073002303</x:v>
      </x:c>
      <x:c r="B145" s="132" t="str">
        <x:v>Jefferson County</x:v>
      </x:c>
      <x:c r="C145" s="132" t="n">
        <x:v>1</x:v>
      </x:c>
      <x:c r="D145" s="134" t="n">
        <x:v>2998</x:v>
      </x:c>
      <x:c r="E145" s="133" t="n">
        <x:v>49.6</x:v>
      </x:c>
      <x:c r="F145" s="134" t="n">
        <x:v>966</x:v>
      </x:c>
      <x:c r="G145" s="134" t="n">
        <x:v>1</x:v>
      </x:c>
      <x:c r="H145" s="134" t="n">
        <x:v>559</x:v>
      </x:c>
      <x:c r="I145" s="134" t="n">
        <x:v>180</x:v>
      </x:c>
      <x:c r="J145" s="133" t="n">
        <x:v>18.645763842561706</x:v>
      </x:c>
      <x:c r="K145" s="133" t="n">
        <x:v>18.633540372670808</x:v>
      </x:c>
      <x:c r="L145" s="133" t="n">
        <x:v>18.6046511627907</x:v>
      </x:c>
      <x:c r="M145" s="133" t="n">
        <x:v>18.658892128279884</x:v>
      </x:c>
      <x:c r="N145" s="133" t="n">
        <x:v>18.53281853281853</x:v>
      </x:c>
      <x:c r="O145" s="133" t="n">
        <x:v>18.68686868686869</x:v>
      </x:c>
      <x:c r="P145" s="132" t="n">
        <x:v>141</x:v>
      </x:c>
    </x:row>
    <x:row r="146">
      <x:c r="A146" s="136" t="str">
        <x:v>01101000300</x:v>
      </x:c>
      <x:c r="B146" s="132" t="str">
        <x:v>Montgomery County</x:v>
      </x:c>
      <x:c r="C146" s="132" t="n">
        <x:v>1</x:v>
      </x:c>
      <x:c r="D146" s="134" t="n">
        <x:v>1261</x:v>
      </x:c>
      <x:c r="E146" s="133" t="n">
        <x:v>43</x:v>
      </x:c>
      <x:c r="F146" s="134" t="n">
        <x:v>468</x:v>
      </x:c>
      <x:c r="G146" s="134" t="n">
        <x:v>1</x:v>
      </x:c>
      <x:c r="H146" s="134" t="n">
        <x:v>486</x:v>
      </x:c>
      <x:c r="I146" s="134" t="n">
        <x:v>180</x:v>
      </x:c>
      <x:c r="J146" s="133" t="n">
        <x:v>38.54084060269627</x:v>
      </x:c>
      <x:c r="K146" s="133" t="n">
        <x:v>38.46153846153846</x:v>
      </x:c>
      <x:c r="L146" s="133" t="n">
        <x:v>38.38383838383838</x:v>
      </x:c>
      <x:c r="M146" s="133" t="n">
        <x:v>38.78787878787879</x:v>
      </x:c>
      <x:c r="N146" s="133" t="n">
        <x:v>39.285714285714285</x:v>
      </x:c>
      <x:c r="O146" s="133" t="n">
        <x:v>38.38383838383838</x:v>
      </x:c>
      <x:c r="P146" s="132" t="n">
        <x:v>141</x:v>
      </x:c>
    </x:row>
    <x:row r="147">
      <x:c r="A147" s="136" t="str">
        <x:v>01131034700</x:v>
      </x:c>
      <x:c r="B147" s="132" t="str">
        <x:v>Wilcox County</x:v>
      </x:c>
      <x:c r="C147" s="132" t="n">
        <x:v>0</x:v>
      </x:c>
      <x:c r="D147" s="134" t="n">
        <x:v>1283</x:v>
      </x:c>
      <x:c r="E147" s="133" t="n">
        <x:v>46.2</x:v>
      </x:c>
      <x:c r="F147" s="134" t="n">
        <x:v>474</x:v>
      </x:c>
      <x:c r="G147" s="134" t="n">
        <x:v>1</x:v>
      </x:c>
      <x:c r="H147" s="134" t="n">
        <x:v>473</x:v>
      </x:c>
      <x:c r="I147" s="134" t="n">
        <x:v>175</x:v>
      </x:c>
      <x:c r="J147" s="133" t="n">
        <x:v>36.86671862821512</x:v>
      </x:c>
      <x:c r="K147" s="133" t="n">
        <x:v>36.91983122362869</x:v>
      </x:c>
      <x:c r="L147" s="133" t="n">
        <x:v>36.94267515923567</x:v>
      </x:c>
      <x:c r="M147" s="133" t="n">
        <x:v>36.97478991596638</x:v>
      </x:c>
      <x:c r="N147" s="133" t="n">
        <x:v>36.170212765957444</x:v>
      </x:c>
      <x:c r="O147" s="133" t="n">
        <x:v>37.00305810397553</x:v>
      </x:c>
      <x:c r="P147" s="132" t="n">
        <x:v>143</x:v>
      </x:c>
    </x:row>
    <x:row r="148">
      <x:c r="A148" s="136" t="str">
        <x:v>01105686800</x:v>
      </x:c>
      <x:c r="B148" s="132" t="str">
        <x:v>Perry County</x:v>
      </x:c>
      <x:c r="C148" s="132" t="n">
        <x:v>0</x:v>
      </x:c>
      <x:c r="D148" s="134" t="n">
        <x:v>736</x:v>
      </x:c>
      <x:c r="E148" s="133" t="n">
        <x:v>5.2</x:v>
      </x:c>
      <x:c r="F148" s="134" t="n">
        <x:v>342</x:v>
      </x:c>
      <x:c r="G148" s="134" t="n">
        <x:v>1</x:v>
      </x:c>
      <x:c r="H148" s="134" t="n">
        <x:v>363</x:v>
      </x:c>
      <x:c r="I148" s="134" t="n">
        <x:v>169</x:v>
      </x:c>
      <x:c r="J148" s="133" t="n">
        <x:v>49.32065217391305</x:v>
      </x:c>
      <x:c r="K148" s="133" t="n">
        <x:v>49.41520467836257</x:v>
      </x:c>
      <x:c r="L148" s="133" t="n">
        <x:v>49.03846153846154</x:v>
      </x:c>
      <x:c r="M148" s="133" t="n">
        <x:v>49.152542372881356</x:v>
      </x:c>
      <x:c r="N148" s="133" t="n">
        <x:v>0</x:v>
      </x:c>
      <x:c r="O148" s="133" t="n">
        <x:v>47.05882352941177</x:v>
      </x:c>
      <x:c r="P148" s="132" t="n">
        <x:v>144</x:v>
      </x:c>
    </x:row>
    <x:row r="149">
      <x:c r="A149" s="136" t="str">
        <x:v>01117030407</x:v>
      </x:c>
      <x:c r="B149" s="132" t="str">
        <x:v>Shelby County</x:v>
      </x:c>
      <x:c r="C149" s="132" t="n">
        <x:v>1</x:v>
      </x:c>
      <x:c r="D149" s="134" t="n">
        <x:v>2126</x:v>
      </x:c>
      <x:c r="E149" s="133" t="n">
        <x:v>29</x:v>
      </x:c>
      <x:c r="F149" s="134" t="n">
        <x:v>423</x:v>
      </x:c>
      <x:c r="G149" s="134" t="n">
        <x:v>1</x:v>
      </x:c>
      <x:c r="H149" s="134" t="n">
        <x:v>817</x:v>
      </x:c>
      <x:c r="I149" s="134" t="n">
        <x:v>163</x:v>
      </x:c>
      <x:c r="J149" s="133" t="n">
        <x:v>38.42897460018815</x:v>
      </x:c>
      <x:c r="K149" s="133" t="n">
        <x:v>38.53427895981088</x:v>
      </x:c>
      <x:c r="L149" s="133" t="n">
        <x:v>38.1578947368421</x:v>
      </x:c>
      <x:c r="M149" s="133" t="n">
        <x:v>38.59649122807018</x:v>
      </x:c>
      <x:c r="N149" s="133" t="n">
        <x:v>38.46153846153846</x:v>
      </x:c>
      <x:c r="O149" s="133" t="n">
        <x:v>37.77777777777778</x:v>
      </x:c>
      <x:c r="P149" s="132" t="n">
        <x:v>145</x:v>
      </x:c>
    </x:row>
    <x:row r="150">
      <x:c r="A150" s="136" t="str">
        <x:v>01121010600</x:v>
      </x:c>
      <x:c r="B150" s="132" t="str">
        <x:v>Talladega County</x:v>
      </x:c>
      <x:c r="C150" s="132" t="n">
        <x:v>1</x:v>
      </x:c>
      <x:c r="D150" s="134" t="n">
        <x:v>3115</x:v>
      </x:c>
      <x:c r="E150" s="133" t="n">
        <x:v>50.3</x:v>
      </x:c>
      <x:c r="F150" s="134" t="n">
        <x:v>767</x:v>
      </x:c>
      <x:c r="G150" s="134" t="n">
        <x:v>1</x:v>
      </x:c>
      <x:c r="H150" s="134" t="n">
        <x:v>643</x:v>
      </x:c>
      <x:c r="I150" s="134" t="n">
        <x:v>158</x:v>
      </x:c>
      <x:c r="J150" s="133" t="n">
        <x:v>20.642054574638845</x:v>
      </x:c>
      <x:c r="K150" s="133" t="n">
        <x:v>20.59973924380704</x:v>
      </x:c>
      <x:c r="L150" s="133" t="n">
        <x:v>20.682523267838675</x:v>
      </x:c>
      <x:c r="M150" s="133" t="n">
        <x:v>20.634920634920636</x:v>
      </x:c>
      <x:c r="N150" s="133" t="n">
        <x:v>20.625</x:v>
      </x:c>
      <x:c r="O150" s="133" t="n">
        <x:v>20.61855670103093</x:v>
      </x:c>
      <x:c r="P150" s="132" t="n">
        <x:v>146</x:v>
      </x:c>
    </x:row>
    <x:row r="151">
      <x:c r="A151" s="136" t="str">
        <x:v>01063060000</x:v>
      </x:c>
      <x:c r="B151" s="132" t="str">
        <x:v>Greene County</x:v>
      </x:c>
      <x:c r="C151" s="132" t="n">
        <x:v>0</x:v>
      </x:c>
      <x:c r="D151" s="134" t="n">
        <x:v>1366</x:v>
      </x:c>
      <x:c r="E151" s="133" t="n">
        <x:v>55.1</x:v>
      </x:c>
      <x:c r="F151" s="134" t="n">
        <x:v>457</x:v>
      </x:c>
      <x:c r="G151" s="134" t="n">
        <x:v>1</x:v>
      </x:c>
      <x:c r="H151" s="134" t="n">
        <x:v>469</x:v>
      </x:c>
      <x:c r="I151" s="134" t="n">
        <x:v>157</x:v>
      </x:c>
      <x:c r="J151" s="133" t="n">
        <x:v>34.333821376281115</x:v>
      </x:c>
      <x:c r="K151" s="133" t="n">
        <x:v>34.354485776805255</x:v>
      </x:c>
      <x:c r="L151" s="133" t="n">
        <x:v>34.46808510638298</x:v>
      </x:c>
      <x:c r="M151" s="133" t="n">
        <x:v>34.31372549019608</x:v>
      </x:c>
      <x:c r="N151" s="133" t="n">
        <x:v>33.9622641509434</x:v>
      </x:c>
      <x:c r="O151" s="133" t="n">
        <x:v>34.131736526946106</x:v>
      </x:c>
      <x:c r="P151" s="132" t="n">
        <x:v>147</x:v>
      </x:c>
    </x:row>
    <x:row r="152">
      <x:c r="A152" s="136" t="str">
        <x:v>01039962600</x:v>
      </x:c>
      <x:c r="B152" s="132" t="str">
        <x:v>Covington County</x:v>
      </x:c>
      <x:c r="C152" s="132" t="n">
        <x:v>1</x:v>
      </x:c>
      <x:c r="D152" s="134" t="n">
        <x:v>1373</x:v>
      </x:c>
      <x:c r="E152" s="133" t="n">
        <x:v>15.9</x:v>
      </x:c>
      <x:c r="F152" s="134" t="n">
        <x:v>422</x:v>
      </x:c>
      <x:c r="G152" s="134" t="n">
        <x:v>1</x:v>
      </x:c>
      <x:c r="H152" s="134" t="n">
        <x:v>504</x:v>
      </x:c>
      <x:c r="I152" s="134" t="n">
        <x:v>155</x:v>
      </x:c>
      <x:c r="J152" s="133" t="n">
        <x:v>36.707938820101965</x:v>
      </x:c>
      <x:c r="K152" s="133" t="n">
        <x:v>36.72985781990521</x:v>
      </x:c>
      <x:c r="L152" s="133" t="n">
        <x:v>36.82634730538922</x:v>
      </x:c>
      <x:c r="M152" s="133" t="n">
        <x:v>36.62551440329218</x:v>
      </x:c>
      <x:c r="N152" s="133" t="n">
        <x:v>36.8421052631579</x:v>
      </x:c>
      <x:c r="O152" s="133" t="n">
        <x:v>36.36363636363637</x:v>
      </x:c>
      <x:c r="P152" s="132" t="n">
        <x:v>148</x:v>
      </x:c>
    </x:row>
    <x:row r="153">
      <x:c r="A153" s="136" t="str">
        <x:v>01089000203</x:v>
      </x:c>
      <x:c r="B153" s="132" t="str">
        <x:v>Madison County</x:v>
      </x:c>
      <x:c r="C153" s="132" t="n">
        <x:v>1</x:v>
      </x:c>
      <x:c r="D153" s="134" t="n">
        <x:v>5584</x:v>
      </x:c>
      <x:c r="E153" s="133" t="n">
        <x:v>33.1</x:v>
      </x:c>
      <x:c r="F153" s="134" t="n">
        <x:v>1204</x:v>
      </x:c>
      <x:c r="G153" s="134" t="n">
        <x:v>1</x:v>
      </x:c>
      <x:c r="H153" s="134" t="n">
        <x:v>643</x:v>
      </x:c>
      <x:c r="I153" s="134" t="n">
        <x:v>139</x:v>
      </x:c>
      <x:c r="J153" s="133" t="n">
        <x:v>11.515042979942693</x:v>
      </x:c>
      <x:c r="K153" s="133" t="n">
        <x:v>11.544850498338871</x:v>
      </x:c>
      <x:c r="L153" s="133" t="n">
        <x:v>11.538461538461538</x:v>
      </x:c>
      <x:c r="M153" s="133" t="n">
        <x:v>11.527377521613833</x:v>
      </x:c>
      <x:c r="N153" s="133" t="n">
        <x:v>11.764705882352942</x:v>
      </x:c>
      <x:c r="O153" s="133" t="n">
        <x:v>11.436170212765957</x:v>
      </x:c>
      <x:c r="P153" s="132" t="n">
        <x:v>149</x:v>
      </x:c>
    </x:row>
    <x:row r="154">
      <x:c r="A154" s="136" t="str">
        <x:v>01103000600</x:v>
      </x:c>
      <x:c r="B154" s="132" t="str">
        <x:v>Morgan County</x:v>
      </x:c>
      <x:c r="C154" s="132" t="n">
        <x:v>1</x:v>
      </x:c>
      <x:c r="D154" s="134" t="n">
        <x:v>3266</x:v>
      </x:c>
      <x:c r="E154" s="133" t="n">
        <x:v>39.8</x:v>
      </x:c>
      <x:c r="F154" s="134" t="n">
        <x:v>623</x:v>
      </x:c>
      <x:c r="G154" s="134" t="n">
        <x:v>1</x:v>
      </x:c>
      <x:c r="H154" s="134" t="n">
        <x:v>609</x:v>
      </x:c>
      <x:c r="I154" s="134" t="n">
        <x:v>116</x:v>
      </x:c>
      <x:c r="J154" s="133" t="n">
        <x:v>18.646662584200858</x:v>
      </x:c>
      <x:c r="K154" s="133" t="n">
        <x:v>18.619582664526483</x:v>
      </x:c>
      <x:c r="L154" s="133" t="n">
        <x:v>18.61413043478261</x:v>
      </x:c>
      <x:c r="M154" s="133" t="n">
        <x:v>18.76606683804627</x:v>
      </x:c>
      <x:c r="N154" s="133" t="n">
        <x:v>18.823529411764707</x:v>
      </x:c>
      <x:c r="O154" s="133" t="n">
        <x:v>18.726591760299627</x:v>
      </x:c>
      <x:c r="P154" s="132" t="n">
        <x:v>150</x:v>
      </x:c>
    </x:row>
    <x:row r="155">
      <x:c r="A155" s="136" t="str">
        <x:v>01001020803</x:v>
      </x:c>
      <x:c r="B155" s="132" t="str">
        <x:v>Autauga County</x:v>
      </x:c>
      <x:c r="C155" s="132" t="n">
        <x:v>0</x:v>
      </x:c>
      <x:c r="D155" s="134" t="n">
        <x:v>4635</x:v>
      </x:c>
      <x:c r="E155" s="133" t="n">
        <x:v>14.7</x:v>
      </x:c>
      <x:c r="F155" s="134" t="n">
        <x:v>2505</x:v>
      </x:c>
      <x:c r="G155" s="134" t="n">
        <x:v>0</x:v>
      </x:c>
      <x:c r="H155" s="134" t="n">
        <x:v>0</x:v>
      </x:c>
      <x:c r="I155" s="134" t="n">
        <x:v>0</x:v>
      </x:c>
      <x:c r="J155" s="133" t="n">
        <x:v>0</x:v>
      </x:c>
      <x:c r="K155" s="133" t="n">
        <x:v>0</x:v>
      </x:c>
      <x:c r="L155" s="133" t="n">
        <x:v>0</x:v>
      </x:c>
      <x:c r="M155" s="133" t="n">
        <x:v>0</x:v>
      </x:c>
      <x:c r="N155" s="133" t="n">
        <x:v>0</x:v>
      </x:c>
      <x:c r="O155" s="133" t="n">
        <x:v>0</x:v>
      </x:c>
      <x:c r="P155" s="132"/>
    </x:row>
    <x:row r="156">
      <x:c r="A156" s="136" t="str">
        <x:v>01001020804</x:v>
      </x:c>
      <x:c r="B156" s="132" t="str">
        <x:v>Autauga County</x:v>
      </x:c>
      <x:c r="C156" s="132" t="n">
        <x:v>0</x:v>
      </x:c>
      <x:c r="D156" s="134" t="n">
        <x:v>6064</x:v>
      </x:c>
      <x:c r="E156" s="133" t="n">
        <x:v>4.6</x:v>
      </x:c>
      <x:c r="F156" s="134" t="n">
        <x:v>5172</x:v>
      </x:c>
      <x:c r="G156" s="134" t="n">
        <x:v>0</x:v>
      </x:c>
      <x:c r="H156" s="134" t="n">
        <x:v>0</x:v>
      </x:c>
      <x:c r="I156" s="134" t="n">
        <x:v>0</x:v>
      </x:c>
      <x:c r="J156" s="133" t="n">
        <x:v>0</x:v>
      </x:c>
      <x:c r="K156" s="133" t="n">
        <x:v>0</x:v>
      </x:c>
      <x:c r="L156" s="133" t="n">
        <x:v>0</x:v>
      </x:c>
      <x:c r="M156" s="133" t="n">
        <x:v>0</x:v>
      </x:c>
      <x:c r="N156" s="133"/>
      <x:c r="O156" s="133" t="n">
        <x:v>0</x:v>
      </x:c>
      <x:c r="P156" s="132"/>
    </x:row>
    <x:row r="157">
      <x:c r="A157" s="136" t="str">
        <x:v>01001020805</x:v>
      </x:c>
      <x:c r="B157" s="132" t="str">
        <x:v>Autauga County</x:v>
      </x:c>
      <x:c r="C157" s="132" t="n">
        <x:v>0</x:v>
      </x:c>
      <x:c r="D157" s="134" t="n">
        <x:v>3122</x:v>
      </x:c>
      <x:c r="E157" s="133" t="n">
        <x:v>2.7</x:v>
      </x:c>
      <x:c r="F157" s="134" t="n">
        <x:v>2729</x:v>
      </x:c>
      <x:c r="G157" s="134" t="n">
        <x:v>0</x:v>
      </x:c>
      <x:c r="H157" s="134" t="n">
        <x:v>0</x:v>
      </x:c>
      <x:c r="I157" s="134" t="n">
        <x:v>0</x:v>
      </x:c>
      <x:c r="J157" s="133" t="n">
        <x:v>0</x:v>
      </x:c>
      <x:c r="K157" s="133" t="n">
        <x:v>0</x:v>
      </x:c>
      <x:c r="L157" s="133" t="n">
        <x:v>0</x:v>
      </x:c>
      <x:c r="M157" s="133" t="n">
        <x:v>0</x:v>
      </x:c>
      <x:c r="N157" s="133" t="n">
        <x:v>0</x:v>
      </x:c>
      <x:c r="O157" s="133" t="n">
        <x:v>0</x:v>
      </x:c>
      <x:c r="P157" s="132"/>
    </x:row>
    <x:row r="158">
      <x:c r="A158" s="136" t="str">
        <x:v>01001020901</x:v>
      </x:c>
      <x:c r="B158" s="132" t="str">
        <x:v>Autauga County</x:v>
      </x:c>
      <x:c r="C158" s="132" t="n">
        <x:v>0</x:v>
      </x:c>
      <x:c r="D158" s="134" t="n">
        <x:v>3268</x:v>
      </x:c>
      <x:c r="E158" s="133" t="n">
        <x:v>10.3</x:v>
      </x:c>
      <x:c r="F158" s="134" t="n">
        <x:v>2290</x:v>
      </x:c>
      <x:c r="G158" s="134" t="n">
        <x:v>0</x:v>
      </x:c>
      <x:c r="H158" s="134" t="n">
        <x:v>0</x:v>
      </x:c>
      <x:c r="I158" s="134" t="n">
        <x:v>0</x:v>
      </x:c>
      <x:c r="J158" s="133" t="n">
        <x:v>0</x:v>
      </x:c>
      <x:c r="K158" s="133" t="n">
        <x:v>0</x:v>
      </x:c>
      <x:c r="L158" s="133" t="n">
        <x:v>0</x:v>
      </x:c>
      <x:c r="M158" s="133" t="n">
        <x:v>0</x:v>
      </x:c>
      <x:c r="N158" s="133" t="n">
        <x:v>0</x:v>
      </x:c>
      <x:c r="O158" s="133" t="n">
        <x:v>0</x:v>
      </x:c>
      <x:c r="P158" s="132"/>
    </x:row>
    <x:row r="159">
      <x:c r="A159" s="136" t="str">
        <x:v>01003010708</x:v>
      </x:c>
      <x:c r="B159" s="132" t="str">
        <x:v>Baldwin County</x:v>
      </x:c>
      <x:c r="C159" s="132" t="n">
        <x:v>0</x:v>
      </x:c>
      <x:c r="D159" s="134" t="n">
        <x:v>11585</x:v>
      </x:c>
      <x:c r="E159" s="133" t="n">
        <x:v>7.6</x:v>
      </x:c>
      <x:c r="F159" s="134" t="n">
        <x:v>11777</x:v>
      </x:c>
      <x:c r="G159" s="134" t="n">
        <x:v>0</x:v>
      </x:c>
      <x:c r="H159" s="134" t="n">
        <x:v>0</x:v>
      </x:c>
      <x:c r="I159" s="134" t="n">
        <x:v>0</x:v>
      </x:c>
      <x:c r="J159" s="133" t="n">
        <x:v>0</x:v>
      </x:c>
      <x:c r="K159" s="133" t="n">
        <x:v>0</x:v>
      </x:c>
      <x:c r="L159" s="133" t="n">
        <x:v>0</x:v>
      </x:c>
      <x:c r="M159" s="133" t="n">
        <x:v>0</x:v>
      </x:c>
      <x:c r="N159" s="133" t="n">
        <x:v>0</x:v>
      </x:c>
      <x:c r="O159" s="133" t="n">
        <x:v>0</x:v>
      </x:c>
      <x:c r="P159" s="132"/>
    </x:row>
    <x:row r="160">
      <x:c r="A160" s="136" t="str">
        <x:v>01003010709</x:v>
      </x:c>
      <x:c r="B160" s="132" t="str">
        <x:v>Baldwin County</x:v>
      </x:c>
      <x:c r="C160" s="132" t="n">
        <x:v>0</x:v>
      </x:c>
      <x:c r="D160" s="134" t="n">
        <x:v>11650</x:v>
      </x:c>
      <x:c r="E160" s="133" t="n">
        <x:v>3.2</x:v>
      </x:c>
      <x:c r="F160" s="134" t="n">
        <x:v>10979</x:v>
      </x:c>
      <x:c r="G160" s="134" t="n">
        <x:v>0</x:v>
      </x:c>
      <x:c r="H160" s="134" t="n">
        <x:v>0</x:v>
      </x:c>
      <x:c r="I160" s="134" t="n">
        <x:v>0</x:v>
      </x:c>
      <x:c r="J160" s="133" t="n">
        <x:v>0</x:v>
      </x:c>
      <x:c r="K160" s="133" t="n">
        <x:v>0</x:v>
      </x:c>
      <x:c r="L160" s="133" t="n">
        <x:v>0</x:v>
      </x:c>
      <x:c r="M160" s="133" t="n">
        <x:v>0</x:v>
      </x:c>
      <x:c r="N160" s="133"/>
      <x:c r="O160" s="133"/>
      <x:c r="P160" s="132"/>
    </x:row>
    <x:row r="161">
      <x:c r="A161" s="136" t="str">
        <x:v>01003010903</x:v>
      </x:c>
      <x:c r="B161" s="132" t="str">
        <x:v>Baldwin County</x:v>
      </x:c>
      <x:c r="C161" s="132" t="n">
        <x:v>0</x:v>
      </x:c>
      <x:c r="D161" s="134" t="n">
        <x:v>6599</x:v>
      </x:c>
      <x:c r="E161" s="133" t="n">
        <x:v>13.6</x:v>
      </x:c>
      <x:c r="F161" s="134" t="n">
        <x:v>3808</x:v>
      </x:c>
      <x:c r="G161" s="134" t="n">
        <x:v>0</x:v>
      </x:c>
      <x:c r="H161" s="134" t="n">
        <x:v>0</x:v>
      </x:c>
      <x:c r="I161" s="134" t="n">
        <x:v>0</x:v>
      </x:c>
      <x:c r="J161" s="133" t="n">
        <x:v>0</x:v>
      </x:c>
      <x:c r="K161" s="133" t="n">
        <x:v>0</x:v>
      </x:c>
      <x:c r="L161" s="133" t="n">
        <x:v>0</x:v>
      </x:c>
      <x:c r="M161" s="133" t="n">
        <x:v>0</x:v>
      </x:c>
      <x:c r="N161" s="133" t="n">
        <x:v>0</x:v>
      </x:c>
      <x:c r="O161" s="133" t="n">
        <x:v>0</x:v>
      </x:c>
      <x:c r="P161" s="132"/>
    </x:row>
    <x:row r="162">
      <x:c r="A162" s="136" t="str">
        <x:v>01003010907</x:v>
      </x:c>
      <x:c r="B162" s="132" t="str">
        <x:v>Baldwin County</x:v>
      </x:c>
      <x:c r="C162" s="132" t="n">
        <x:v>0</x:v>
      </x:c>
      <x:c r="D162" s="134" t="n">
        <x:v>4081</x:v>
      </x:c>
      <x:c r="E162" s="133" t="n">
        <x:v>7.3</x:v>
      </x:c>
      <x:c r="F162" s="134" t="n">
        <x:v>3562</x:v>
      </x:c>
      <x:c r="G162" s="134" t="n">
        <x:v>0</x:v>
      </x:c>
      <x:c r="H162" s="134" t="n">
        <x:v>0</x:v>
      </x:c>
      <x:c r="I162" s="134" t="n">
        <x:v>0</x:v>
      </x:c>
      <x:c r="J162" s="133" t="n">
        <x:v>0</x:v>
      </x:c>
      <x:c r="K162" s="133" t="n">
        <x:v>0</x:v>
      </x:c>
      <x:c r="L162" s="133" t="n">
        <x:v>0</x:v>
      </x:c>
      <x:c r="M162" s="133" t="n">
        <x:v>0</x:v>
      </x:c>
      <x:c r="N162" s="133" t="n">
        <x:v>0</x:v>
      </x:c>
      <x:c r="O162" s="133" t="n">
        <x:v>0</x:v>
      </x:c>
      <x:c r="P162" s="132"/>
    </x:row>
    <x:row r="163">
      <x:c r="A163" s="136" t="str">
        <x:v>01003010908</x:v>
      </x:c>
      <x:c r="B163" s="132" t="str">
        <x:v>Baldwin County</x:v>
      </x:c>
      <x:c r="C163" s="132" t="n">
        <x:v>0</x:v>
      </x:c>
      <x:c r="D163" s="134" t="n">
        <x:v>5979</x:v>
      </x:c>
      <x:c r="E163" s="133" t="n">
        <x:v>9.7</x:v>
      </x:c>
      <x:c r="F163" s="134" t="n">
        <x:v>4461</x:v>
      </x:c>
      <x:c r="G163" s="134" t="n">
        <x:v>0</x:v>
      </x:c>
      <x:c r="H163" s="134" t="n">
        <x:v>0</x:v>
      </x:c>
      <x:c r="I163" s="134" t="n">
        <x:v>0</x:v>
      </x:c>
      <x:c r="J163" s="133" t="n">
        <x:v>0</x:v>
      </x:c>
      <x:c r="K163" s="133" t="n">
        <x:v>0</x:v>
      </x:c>
      <x:c r="L163" s="133" t="n">
        <x:v>0</x:v>
      </x:c>
      <x:c r="M163" s="133" t="n">
        <x:v>0</x:v>
      </x:c>
      <x:c r="N163" s="133" t="n">
        <x:v>0</x:v>
      </x:c>
      <x:c r="O163" s="133" t="n">
        <x:v>0</x:v>
      </x:c>
      <x:c r="P163" s="132"/>
    </x:row>
    <x:row r="164">
      <x:c r="A164" s="136" t="str">
        <x:v>01003011102</x:v>
      </x:c>
      <x:c r="B164" s="132" t="str">
        <x:v>Baldwin County</x:v>
      </x:c>
      <x:c r="C164" s="132" t="n">
        <x:v>0</x:v>
      </x:c>
      <x:c r="D164" s="134" t="n">
        <x:v>5684</x:v>
      </x:c>
      <x:c r="E164" s="133" t="n">
        <x:v>4.7</x:v>
      </x:c>
      <x:c r="F164" s="134" t="n">
        <x:v>4837</x:v>
      </x:c>
      <x:c r="G164" s="134" t="n">
        <x:v>0</x:v>
      </x:c>
      <x:c r="H164" s="134" t="n">
        <x:v>0</x:v>
      </x:c>
      <x:c r="I164" s="134" t="n">
        <x:v>0</x:v>
      </x:c>
      <x:c r="J164" s="133" t="n">
        <x:v>0</x:v>
      </x:c>
      <x:c r="K164" s="133" t="n">
        <x:v>0</x:v>
      </x:c>
      <x:c r="L164" s="133" t="n">
        <x:v>0</x:v>
      </x:c>
      <x:c r="M164" s="133" t="n">
        <x:v>0</x:v>
      </x:c>
      <x:c r="N164" s="133" t="n">
        <x:v>0</x:v>
      </x:c>
      <x:c r="O164" s="133" t="n">
        <x:v>0</x:v>
      </x:c>
      <x:c r="P164" s="132"/>
    </x:row>
    <x:row r="165">
      <x:c r="A165" s="136" t="str">
        <x:v>01003011409</x:v>
      </x:c>
      <x:c r="B165" s="132" t="str">
        <x:v>Baldwin County</x:v>
      </x:c>
      <x:c r="C165" s="132" t="n">
        <x:v>0</x:v>
      </x:c>
      <x:c r="D165" s="134" t="n">
        <x:v>5915</x:v>
      </x:c>
      <x:c r="E165" s="133" t="n">
        <x:v>16.3</x:v>
      </x:c>
      <x:c r="F165" s="134" t="n">
        <x:v>4428</x:v>
      </x:c>
      <x:c r="G165" s="134" t="n">
        <x:v>0</x:v>
      </x:c>
      <x:c r="H165" s="134" t="n">
        <x:v>0</x:v>
      </x:c>
      <x:c r="I165" s="134" t="n">
        <x:v>0</x:v>
      </x:c>
      <x:c r="J165" s="133" t="n">
        <x:v>0</x:v>
      </x:c>
      <x:c r="K165" s="133" t="n">
        <x:v>0</x:v>
      </x:c>
      <x:c r="L165" s="133" t="n">
        <x:v>0</x:v>
      </x:c>
      <x:c r="M165" s="133" t="n">
        <x:v>0</x:v>
      </x:c>
      <x:c r="N165" s="133" t="n">
        <x:v>0</x:v>
      </x:c>
      <x:c r="O165" s="133" t="n">
        <x:v>0</x:v>
      </x:c>
      <x:c r="P165" s="132"/>
    </x:row>
    <x:row r="166">
      <x:c r="A166" s="136" t="str">
        <x:v>01003011411</x:v>
      </x:c>
      <x:c r="B166" s="132" t="str">
        <x:v>Baldwin County</x:v>
      </x:c>
      <x:c r="C166" s="132" t="n">
        <x:v>0</x:v>
      </x:c>
      <x:c r="D166" s="134" t="n">
        <x:v>5666</x:v>
      </x:c>
      <x:c r="E166" s="133" t="n">
        <x:v>15.6</x:v>
      </x:c>
      <x:c r="F166" s="134" t="n">
        <x:v>3801</x:v>
      </x:c>
      <x:c r="G166" s="134" t="n">
        <x:v>0</x:v>
      </x:c>
      <x:c r="H166" s="134" t="n">
        <x:v>0</x:v>
      </x:c>
      <x:c r="I166" s="134" t="n">
        <x:v>0</x:v>
      </x:c>
      <x:c r="J166" s="133" t="n">
        <x:v>0</x:v>
      </x:c>
      <x:c r="K166" s="133" t="n">
        <x:v>0</x:v>
      </x:c>
      <x:c r="L166" s="133" t="n">
        <x:v>0</x:v>
      </x:c>
      <x:c r="M166" s="133" t="n">
        <x:v>0</x:v>
      </x:c>
      <x:c r="N166" s="133" t="n">
        <x:v>0</x:v>
      </x:c>
      <x:c r="O166" s="133" t="n">
        <x:v>0</x:v>
      </x:c>
      <x:c r="P166" s="132"/>
    </x:row>
    <x:row r="167">
      <x:c r="A167" s="136" t="str">
        <x:v>01003011412</x:v>
      </x:c>
      <x:c r="B167" s="132" t="str">
        <x:v>Baldwin County</x:v>
      </x:c>
      <x:c r="C167" s="132" t="n">
        <x:v>0</x:v>
      </x:c>
      <x:c r="D167" s="134" t="n">
        <x:v>4041</x:v>
      </x:c>
      <x:c r="E167" s="133" t="n">
        <x:v>16.7</x:v>
      </x:c>
      <x:c r="F167" s="134" t="n">
        <x:v>3071</x:v>
      </x:c>
      <x:c r="G167" s="134" t="n">
        <x:v>0</x:v>
      </x:c>
      <x:c r="H167" s="134" t="n">
        <x:v>0</x:v>
      </x:c>
      <x:c r="I167" s="134" t="n">
        <x:v>0</x:v>
      </x:c>
      <x:c r="J167" s="133" t="n">
        <x:v>0</x:v>
      </x:c>
      <x:c r="K167" s="133" t="n">
        <x:v>0</x:v>
      </x:c>
      <x:c r="L167" s="133" t="n">
        <x:v>0</x:v>
      </x:c>
      <x:c r="M167" s="133" t="n">
        <x:v>0</x:v>
      </x:c>
      <x:c r="N167" s="133" t="n">
        <x:v>0</x:v>
      </x:c>
      <x:c r="O167" s="133" t="n">
        <x:v>0</x:v>
      </x:c>
      <x:c r="P167" s="132"/>
    </x:row>
    <x:row r="168">
      <x:c r="A168" s="136" t="str">
        <x:v>01003011418</x:v>
      </x:c>
      <x:c r="B168" s="132" t="str">
        <x:v>Baldwin County</x:v>
      </x:c>
      <x:c r="C168" s="132" t="n">
        <x:v>0</x:v>
      </x:c>
      <x:c r="D168" s="134" t="n">
        <x:v>1773</x:v>
      </x:c>
      <x:c r="E168" s="133" t="n">
        <x:v>8.1</x:v>
      </x:c>
      <x:c r="F168" s="134" t="n">
        <x:v>1594</x:v>
      </x:c>
      <x:c r="G168" s="134" t="n">
        <x:v>0</x:v>
      </x:c>
      <x:c r="H168" s="134" t="n">
        <x:v>0</x:v>
      </x:c>
      <x:c r="I168" s="134" t="n">
        <x:v>0</x:v>
      </x:c>
      <x:c r="J168" s="133" t="n">
        <x:v>0</x:v>
      </x:c>
      <x:c r="K168" s="133" t="n">
        <x:v>0</x:v>
      </x:c>
      <x:c r="L168" s="133" t="n">
        <x:v>0</x:v>
      </x:c>
      <x:c r="M168" s="133" t="n">
        <x:v>0</x:v>
      </x:c>
      <x:c r="N168" s="133" t="n">
        <x:v>0</x:v>
      </x:c>
      <x:c r="O168" s="133" t="n">
        <x:v>0</x:v>
      </x:c>
      <x:c r="P168" s="132"/>
    </x:row>
    <x:row r="169">
      <x:c r="A169" s="136" t="str">
        <x:v>01003011504</x:v>
      </x:c>
      <x:c r="B169" s="132" t="str">
        <x:v>Baldwin County</x:v>
      </x:c>
      <x:c r="C169" s="132" t="n">
        <x:v>0</x:v>
      </x:c>
      <x:c r="D169" s="134" t="n">
        <x:v>6431</x:v>
      </x:c>
      <x:c r="E169" s="133" t="n">
        <x:v>6.1</x:v>
      </x:c>
      <x:c r="F169" s="134" t="n">
        <x:v>6458</x:v>
      </x:c>
      <x:c r="G169" s="134" t="n">
        <x:v>0</x:v>
      </x:c>
      <x:c r="H169" s="134" t="n">
        <x:v>0</x:v>
      </x:c>
      <x:c r="I169" s="134" t="n">
        <x:v>0</x:v>
      </x:c>
      <x:c r="J169" s="133" t="n">
        <x:v>0</x:v>
      </x:c>
      <x:c r="K169" s="133" t="n">
        <x:v>0</x:v>
      </x:c>
      <x:c r="L169" s="133" t="n">
        <x:v>0</x:v>
      </x:c>
      <x:c r="M169" s="133" t="n">
        <x:v>0</x:v>
      </x:c>
      <x:c r="N169" s="133" t="n">
        <x:v>0</x:v>
      </x:c>
      <x:c r="O169" s="133" t="n">
        <x:v>0</x:v>
      </x:c>
      <x:c r="P169" s="132"/>
    </x:row>
    <x:row r="170">
      <x:c r="A170" s="136" t="str">
        <x:v>01007010005</x:v>
      </x:c>
      <x:c r="B170" s="132" t="str">
        <x:v>Bibb County</x:v>
      </x:c>
      <x:c r="C170" s="132" t="n">
        <x:v>0</x:v>
      </x:c>
      <x:c r="D170" s="134" t="n">
        <x:v>4204</x:v>
      </x:c>
      <x:c r="E170" s="133" t="n">
        <x:v>14.2</x:v>
      </x:c>
      <x:c r="F170" s="134" t="n">
        <x:v>2631</x:v>
      </x:c>
      <x:c r="G170" s="134" t="n">
        <x:v>0</x:v>
      </x:c>
      <x:c r="H170" s="134" t="n">
        <x:v>0</x:v>
      </x:c>
      <x:c r="I170" s="134" t="n">
        <x:v>0</x:v>
      </x:c>
      <x:c r="J170" s="133" t="n">
        <x:v>0</x:v>
      </x:c>
      <x:c r="K170" s="133" t="n">
        <x:v>0</x:v>
      </x:c>
      <x:c r="L170" s="133" t="n">
        <x:v>0</x:v>
      </x:c>
      <x:c r="M170" s="133" t="n">
        <x:v>0</x:v>
      </x:c>
      <x:c r="N170" s="133" t="n">
        <x:v>0</x:v>
      </x:c>
      <x:c r="O170" s="133" t="n">
        <x:v>0</x:v>
      </x:c>
      <x:c r="P170" s="132"/>
    </x:row>
    <x:row r="171">
      <x:c r="A171" s="136" t="str">
        <x:v>01007010010</x:v>
      </x:c>
      <x:c r="B171" s="132" t="str">
        <x:v>Bibb County</x:v>
      </x:c>
      <x:c r="C171" s="132" t="n">
        <x:v>0</x:v>
      </x:c>
      <x:c r="D171" s="134" t="n">
        <x:v>2853</x:v>
      </x:c>
      <x:c r="E171" s="133" t="n">
        <x:v>26.4</x:v>
      </x:c>
      <x:c r="F171" s="134" t="n">
        <x:v>1290</x:v>
      </x:c>
      <x:c r="G171" s="134" t="n">
        <x:v>0</x:v>
      </x:c>
      <x:c r="H171" s="134" t="n">
        <x:v>0</x:v>
      </x:c>
      <x:c r="I171" s="134" t="n">
        <x:v>0</x:v>
      </x:c>
      <x:c r="J171" s="133" t="n">
        <x:v>0</x:v>
      </x:c>
      <x:c r="K171" s="133" t="n">
        <x:v>0</x:v>
      </x:c>
      <x:c r="L171" s="133" t="n">
        <x:v>0</x:v>
      </x:c>
      <x:c r="M171" s="133" t="n">
        <x:v>0</x:v>
      </x:c>
      <x:c r="N171" s="133" t="n">
        <x:v>0</x:v>
      </x:c>
      <x:c r="O171" s="133" t="n">
        <x:v>0</x:v>
      </x:c>
      <x:c r="P171" s="132"/>
    </x:row>
    <x:row r="172">
      <x:c r="A172" s="136" t="str">
        <x:v>01009050104</x:v>
      </x:c>
      <x:c r="B172" s="132" t="str">
        <x:v>Blount County</x:v>
      </x:c>
      <x:c r="C172" s="132" t="n">
        <x:v>0</x:v>
      </x:c>
      <x:c r="D172" s="134" t="n">
        <x:v>2036</x:v>
      </x:c>
      <x:c r="E172" s="133" t="n">
        <x:v>6</x:v>
      </x:c>
      <x:c r="F172" s="134" t="n">
        <x:v>2267</x:v>
      </x:c>
      <x:c r="G172" s="134" t="n">
        <x:v>0</x:v>
      </x:c>
      <x:c r="H172" s="134" t="n">
        <x:v>0</x:v>
      </x:c>
      <x:c r="I172" s="134" t="n">
        <x:v>0</x:v>
      </x:c>
      <x:c r="J172" s="133" t="n">
        <x:v>0</x:v>
      </x:c>
      <x:c r="K172" s="133" t="n">
        <x:v>0</x:v>
      </x:c>
      <x:c r="L172" s="133" t="n">
        <x:v>0</x:v>
      </x:c>
      <x:c r="M172" s="133" t="n">
        <x:v>0</x:v>
      </x:c>
      <x:c r="N172" s="133" t="n">
        <x:v>0</x:v>
      </x:c>
      <x:c r="O172" s="133" t="n">
        <x:v>0</x:v>
      </x:c>
      <x:c r="P172" s="132"/>
    </x:row>
    <x:row r="173">
      <x:c r="A173" s="136" t="str">
        <x:v>01009050106</x:v>
      </x:c>
      <x:c r="B173" s="132" t="str">
        <x:v>Blount County</x:v>
      </x:c>
      <x:c r="C173" s="132" t="n">
        <x:v>0</x:v>
      </x:c>
      <x:c r="D173" s="134" t="n">
        <x:v>3023</x:v>
      </x:c>
      <x:c r="E173" s="133" t="n">
        <x:v>21.4</x:v>
      </x:c>
      <x:c r="F173" s="134" t="n">
        <x:v>1601</x:v>
      </x:c>
      <x:c r="G173" s="134" t="n">
        <x:v>0</x:v>
      </x:c>
      <x:c r="H173" s="134" t="n">
        <x:v>0</x:v>
      </x:c>
      <x:c r="I173" s="134" t="n">
        <x:v>0</x:v>
      </x:c>
      <x:c r="J173" s="133" t="n">
        <x:v>0</x:v>
      </x:c>
      <x:c r="K173" s="133" t="n">
        <x:v>0</x:v>
      </x:c>
      <x:c r="L173" s="133" t="n">
        <x:v>0</x:v>
      </x:c>
      <x:c r="M173" s="133" t="n">
        <x:v>0</x:v>
      </x:c>
      <x:c r="N173" s="133" t="n">
        <x:v>0</x:v>
      </x:c>
      <x:c r="O173" s="133" t="n">
        <x:v>0</x:v>
      </x:c>
      <x:c r="P173" s="132"/>
    </x:row>
    <x:row r="174">
      <x:c r="A174" s="136" t="str">
        <x:v>01009050200</x:v>
      </x:c>
      <x:c r="B174" s="132" t="str">
        <x:v>Blount County</x:v>
      </x:c>
      <x:c r="C174" s="132" t="n">
        <x:v>0</x:v>
      </x:c>
      <x:c r="D174" s="134" t="n">
        <x:v>3879</x:v>
      </x:c>
      <x:c r="E174" s="133" t="n">
        <x:v>12.4</x:v>
      </x:c>
      <x:c r="F174" s="134" t="n">
        <x:v>2938</x:v>
      </x:c>
      <x:c r="G174" s="134" t="n">
        <x:v>0</x:v>
      </x:c>
      <x:c r="H174" s="134" t="n">
        <x:v>0</x:v>
      </x:c>
      <x:c r="I174" s="134" t="n">
        <x:v>0</x:v>
      </x:c>
      <x:c r="J174" s="133" t="n">
        <x:v>0</x:v>
      </x:c>
      <x:c r="K174" s="133" t="n">
        <x:v>0</x:v>
      </x:c>
      <x:c r="L174" s="133" t="n">
        <x:v>0</x:v>
      </x:c>
      <x:c r="M174" s="133" t="n">
        <x:v>0</x:v>
      </x:c>
      <x:c r="N174" s="133" t="n">
        <x:v>0</x:v>
      </x:c>
      <x:c r="O174" s="133" t="n">
        <x:v>0</x:v>
      </x:c>
      <x:c r="P174" s="132"/>
    </x:row>
    <x:row r="175">
      <x:c r="A175" s="136" t="str">
        <x:v>01009050301</x:v>
      </x:c>
      <x:c r="B175" s="132" t="str">
        <x:v>Blount County</x:v>
      </x:c>
      <x:c r="C175" s="132" t="n">
        <x:v>0</x:v>
      </x:c>
      <x:c r="D175" s="134" t="n">
        <x:v>2880</x:v>
      </x:c>
      <x:c r="E175" s="133" t="n">
        <x:v>11.8</x:v>
      </x:c>
      <x:c r="F175" s="134" t="n">
        <x:v>2027</x:v>
      </x:c>
      <x:c r="G175" s="134" t="n">
        <x:v>0</x:v>
      </x:c>
      <x:c r="H175" s="134" t="n">
        <x:v>0</x:v>
      </x:c>
      <x:c r="I175" s="134" t="n">
        <x:v>0</x:v>
      </x:c>
      <x:c r="J175" s="133" t="n">
        <x:v>0</x:v>
      </x:c>
      <x:c r="K175" s="133" t="n">
        <x:v>0</x:v>
      </x:c>
      <x:c r="L175" s="133" t="n">
        <x:v>0</x:v>
      </x:c>
      <x:c r="M175" s="133" t="n">
        <x:v>0</x:v>
      </x:c>
      <x:c r="N175" s="133" t="n">
        <x:v>0</x:v>
      </x:c>
      <x:c r="O175" s="133" t="n">
        <x:v>0</x:v>
      </x:c>
      <x:c r="P175" s="132"/>
    </x:row>
    <x:row r="176">
      <x:c r="A176" s="136" t="str">
        <x:v>01009050302</x:v>
      </x:c>
      <x:c r="B176" s="132" t="str">
        <x:v>Blount County</x:v>
      </x:c>
      <x:c r="C176" s="132" t="n">
        <x:v>0</x:v>
      </x:c>
      <x:c r="D176" s="134" t="n">
        <x:v>2509</x:v>
      </x:c>
      <x:c r="E176" s="133" t="n">
        <x:v>16.1</x:v>
      </x:c>
      <x:c r="F176" s="134" t="n">
        <x:v>1856</x:v>
      </x:c>
      <x:c r="G176" s="134" t="n">
        <x:v>0</x:v>
      </x:c>
      <x:c r="H176" s="134" t="n">
        <x:v>0</x:v>
      </x:c>
      <x:c r="I176" s="134" t="n">
        <x:v>0</x:v>
      </x:c>
      <x:c r="J176" s="133" t="n">
        <x:v>0</x:v>
      </x:c>
      <x:c r="K176" s="133" t="n">
        <x:v>0</x:v>
      </x:c>
      <x:c r="L176" s="133" t="n">
        <x:v>0</x:v>
      </x:c>
      <x:c r="M176" s="133" t="n">
        <x:v>0</x:v>
      </x:c>
      <x:c r="N176" s="133" t="n">
        <x:v>0</x:v>
      </x:c>
      <x:c r="O176" s="133" t="n">
        <x:v>0</x:v>
      </x:c>
      <x:c r="P176" s="132"/>
    </x:row>
    <x:row r="177">
      <x:c r="A177" s="136" t="str">
        <x:v>01009050400</x:v>
      </x:c>
      <x:c r="B177" s="132" t="str">
        <x:v>Blount County</x:v>
      </x:c>
      <x:c r="C177" s="132" t="n">
        <x:v>0</x:v>
      </x:c>
      <x:c r="D177" s="134" t="n">
        <x:v>4550</x:v>
      </x:c>
      <x:c r="E177" s="133" t="n">
        <x:v>9.9</x:v>
      </x:c>
      <x:c r="F177" s="134" t="n">
        <x:v>3088</x:v>
      </x:c>
      <x:c r="G177" s="134" t="n">
        <x:v>0</x:v>
      </x:c>
      <x:c r="H177" s="134" t="n">
        <x:v>0</x:v>
      </x:c>
      <x:c r="I177" s="134" t="n">
        <x:v>0</x:v>
      </x:c>
      <x:c r="J177" s="133" t="n">
        <x:v>0</x:v>
      </x:c>
      <x:c r="K177" s="133" t="n">
        <x:v>0</x:v>
      </x:c>
      <x:c r="L177" s="133" t="n">
        <x:v>0</x:v>
      </x:c>
      <x:c r="M177" s="133" t="n">
        <x:v>0</x:v>
      </x:c>
      <x:c r="N177" s="133" t="n">
        <x:v>0</x:v>
      </x:c>
      <x:c r="O177" s="133" t="n">
        <x:v>0</x:v>
      </x:c>
      <x:c r="P177" s="132"/>
    </x:row>
    <x:row r="178">
      <x:c r="A178" s="136" t="str">
        <x:v>01009050501</x:v>
      </x:c>
      <x:c r="B178" s="132" t="str">
        <x:v>Blount County</x:v>
      </x:c>
      <x:c r="C178" s="132" t="n">
        <x:v>0</x:v>
      </x:c>
      <x:c r="D178" s="134" t="n">
        <x:v>4272</x:v>
      </x:c>
      <x:c r="E178" s="133" t="n">
        <x:v>11.7</x:v>
      </x:c>
      <x:c r="F178" s="134" t="n">
        <x:v>2564</x:v>
      </x:c>
      <x:c r="G178" s="134" t="n">
        <x:v>0</x:v>
      </x:c>
      <x:c r="H178" s="134" t="n">
        <x:v>0</x:v>
      </x:c>
      <x:c r="I178" s="134" t="n">
        <x:v>0</x:v>
      </x:c>
      <x:c r="J178" s="133" t="n">
        <x:v>0</x:v>
      </x:c>
      <x:c r="K178" s="133" t="n">
        <x:v>0</x:v>
      </x:c>
      <x:c r="L178" s="133" t="n">
        <x:v>0</x:v>
      </x:c>
      <x:c r="M178" s="133" t="n">
        <x:v>0</x:v>
      </x:c>
      <x:c r="N178" s="133" t="n">
        <x:v>0</x:v>
      </x:c>
      <x:c r="O178" s="133" t="n">
        <x:v>0</x:v>
      </x:c>
      <x:c r="P178" s="132"/>
    </x:row>
    <x:row r="179">
      <x:c r="A179" s="136" t="str">
        <x:v>01009050603</x:v>
      </x:c>
      <x:c r="B179" s="132" t="str">
        <x:v>Blount County</x:v>
      </x:c>
      <x:c r="C179" s="132" t="n">
        <x:v>0</x:v>
      </x:c>
      <x:c r="D179" s="134" t="n">
        <x:v>4007</x:v>
      </x:c>
      <x:c r="E179" s="133" t="n">
        <x:v>10.9</x:v>
      </x:c>
      <x:c r="F179" s="134" t="n">
        <x:v>3186</x:v>
      </x:c>
      <x:c r="G179" s="134" t="n">
        <x:v>0</x:v>
      </x:c>
      <x:c r="H179" s="134" t="n">
        <x:v>0</x:v>
      </x:c>
      <x:c r="I179" s="134" t="n">
        <x:v>0</x:v>
      </x:c>
      <x:c r="J179" s="133" t="n">
        <x:v>0</x:v>
      </x:c>
      <x:c r="K179" s="133" t="n">
        <x:v>0</x:v>
      </x:c>
      <x:c r="L179" s="133" t="n">
        <x:v>0</x:v>
      </x:c>
      <x:c r="M179" s="133" t="n">
        <x:v>0</x:v>
      </x:c>
      <x:c r="N179" s="133" t="n">
        <x:v>0</x:v>
      </x:c>
      <x:c r="O179" s="133" t="n">
        <x:v>0</x:v>
      </x:c>
      <x:c r="P179" s="132"/>
    </x:row>
    <x:row r="180">
      <x:c r="A180" s="136" t="str">
        <x:v>01009050604</x:v>
      </x:c>
      <x:c r="B180" s="132" t="str">
        <x:v>Blount County</x:v>
      </x:c>
      <x:c r="C180" s="132" t="n">
        <x:v>0</x:v>
      </x:c>
      <x:c r="D180" s="134" t="n">
        <x:v>5323</x:v>
      </x:c>
      <x:c r="E180" s="133" t="n">
        <x:v>7</x:v>
      </x:c>
      <x:c r="F180" s="134" t="n">
        <x:v>4350</x:v>
      </x:c>
      <x:c r="G180" s="134" t="n">
        <x:v>0</x:v>
      </x:c>
      <x:c r="H180" s="134" t="n">
        <x:v>0</x:v>
      </x:c>
      <x:c r="I180" s="134" t="n">
        <x:v>0</x:v>
      </x:c>
      <x:c r="J180" s="133" t="n">
        <x:v>0</x:v>
      </x:c>
      <x:c r="K180" s="133" t="n">
        <x:v>0</x:v>
      </x:c>
      <x:c r="L180" s="133" t="n">
        <x:v>0</x:v>
      </x:c>
      <x:c r="M180" s="133" t="n">
        <x:v>0</x:v>
      </x:c>
      <x:c r="N180" s="133" t="n">
        <x:v>0</x:v>
      </x:c>
      <x:c r="O180" s="133" t="n">
        <x:v>0</x:v>
      </x:c>
      <x:c r="P180" s="132"/>
    </x:row>
    <x:row r="181">
      <x:c r="A181" s="136" t="str">
        <x:v>01009050702</x:v>
      </x:c>
      <x:c r="B181" s="132" t="str">
        <x:v>Blount County</x:v>
      </x:c>
      <x:c r="C181" s="132" t="n">
        <x:v>0</x:v>
      </x:c>
      <x:c r="D181" s="134" t="n">
        <x:v>3210</x:v>
      </x:c>
      <x:c r="E181" s="133" t="n">
        <x:v>19.6</x:v>
      </x:c>
      <x:c r="F181" s="134" t="n">
        <x:v>1537</x:v>
      </x:c>
      <x:c r="G181" s="134" t="n">
        <x:v>0</x:v>
      </x:c>
      <x:c r="H181" s="134" t="n">
        <x:v>0</x:v>
      </x:c>
      <x:c r="I181" s="134" t="n">
        <x:v>0</x:v>
      </x:c>
      <x:c r="J181" s="133" t="n">
        <x:v>0</x:v>
      </x:c>
      <x:c r="K181" s="133" t="n">
        <x:v>0</x:v>
      </x:c>
      <x:c r="L181" s="133" t="n">
        <x:v>0</x:v>
      </x:c>
      <x:c r="M181" s="133" t="n">
        <x:v>0</x:v>
      </x:c>
      <x:c r="N181" s="133" t="n">
        <x:v>0</x:v>
      </x:c>
      <x:c r="O181" s="133" t="n">
        <x:v>0</x:v>
      </x:c>
      <x:c r="P181" s="132"/>
    </x:row>
    <x:row r="182">
      <x:c r="A182" s="136" t="str">
        <x:v>01013952700</x:v>
      </x:c>
      <x:c r="B182" s="132" t="str">
        <x:v>Butler County</x:v>
      </x:c>
      <x:c r="C182" s="132" t="n">
        <x:v>0</x:v>
      </x:c>
      <x:c r="D182" s="134" t="n">
        <x:v>2515</x:v>
      </x:c>
      <x:c r="E182" s="133" t="n">
        <x:v>29.5</x:v>
      </x:c>
      <x:c r="F182" s="134" t="n">
        <x:v>1311</x:v>
      </x:c>
      <x:c r="G182" s="134" t="n">
        <x:v>0</x:v>
      </x:c>
      <x:c r="H182" s="134" t="n">
        <x:v>0</x:v>
      </x:c>
      <x:c r="I182" s="134" t="n">
        <x:v>0</x:v>
      </x:c>
      <x:c r="J182" s="133" t="n">
        <x:v>0</x:v>
      </x:c>
      <x:c r="K182" s="133" t="n">
        <x:v>0</x:v>
      </x:c>
      <x:c r="L182" s="133" t="n">
        <x:v>0</x:v>
      </x:c>
      <x:c r="M182" s="133" t="n">
        <x:v>0</x:v>
      </x:c>
      <x:c r="N182" s="133" t="n">
        <x:v>0</x:v>
      </x:c>
      <x:c r="O182" s="133" t="n">
        <x:v>0</x:v>
      </x:c>
      <x:c r="P182" s="132"/>
    </x:row>
    <x:row r="183">
      <x:c r="A183" s="136" t="str">
        <x:v>01013952900</x:v>
      </x:c>
      <x:c r="B183" s="132" t="str">
        <x:v>Butler County</x:v>
      </x:c>
      <x:c r="C183" s="132" t="n">
        <x:v>0</x:v>
      </x:c>
      <x:c r="D183" s="134" t="n">
        <x:v>1959</x:v>
      </x:c>
      <x:c r="E183" s="133" t="n">
        <x:v>28.4</x:v>
      </x:c>
      <x:c r="F183" s="134" t="n">
        <x:v>1015</x:v>
      </x:c>
      <x:c r="G183" s="134" t="n">
        <x:v>0</x:v>
      </x:c>
      <x:c r="H183" s="134" t="n">
        <x:v>0</x:v>
      </x:c>
      <x:c r="I183" s="134" t="n">
        <x:v>0</x:v>
      </x:c>
      <x:c r="J183" s="133" t="n">
        <x:v>0</x:v>
      </x:c>
      <x:c r="K183" s="133" t="n">
        <x:v>0</x:v>
      </x:c>
      <x:c r="L183" s="133" t="n">
        <x:v>0</x:v>
      </x:c>
      <x:c r="M183" s="133" t="n">
        <x:v>0</x:v>
      </x:c>
      <x:c r="N183" s="133" t="n">
        <x:v>0</x:v>
      </x:c>
      <x:c r="O183" s="133" t="n">
        <x:v>0</x:v>
      </x:c>
      <x:c r="P183" s="132"/>
    </x:row>
    <x:row r="184">
      <x:c r="A184" s="136" t="str">
        <x:v>01015000600</x:v>
      </x:c>
      <x:c r="B184" s="132" t="str">
        <x:v>Calhoun County</x:v>
      </x:c>
      <x:c r="C184" s="132" t="n">
        <x:v>0</x:v>
      </x:c>
      <x:c r="D184" s="134" t="n">
        <x:v>1780</x:v>
      </x:c>
      <x:c r="E184" s="133" t="n">
        <x:v>47.1</x:v>
      </x:c>
      <x:c r="F184" s="134" t="n">
        <x:v>478</x:v>
      </x:c>
      <x:c r="G184" s="134" t="n">
        <x:v>0</x:v>
      </x:c>
      <x:c r="H184" s="134" t="n">
        <x:v>0</x:v>
      </x:c>
      <x:c r="I184" s="134" t="n">
        <x:v>0</x:v>
      </x:c>
      <x:c r="J184" s="133" t="n">
        <x:v>0</x:v>
      </x:c>
      <x:c r="K184" s="133" t="n">
        <x:v>0</x:v>
      </x:c>
      <x:c r="L184" s="133" t="n">
        <x:v>0</x:v>
      </x:c>
      <x:c r="M184" s="133" t="n">
        <x:v>0</x:v>
      </x:c>
      <x:c r="N184" s="133" t="n">
        <x:v>0</x:v>
      </x:c>
      <x:c r="O184" s="133" t="n">
        <x:v>0</x:v>
      </x:c>
      <x:c r="P184" s="132"/>
    </x:row>
    <x:row r="185">
      <x:c r="A185" s="136" t="str">
        <x:v>01015000800</x:v>
      </x:c>
      <x:c r="B185" s="132" t="str">
        <x:v>Calhoun County</x:v>
      </x:c>
      <x:c r="C185" s="132" t="n">
        <x:v>1</x:v>
      </x:c>
      <x:c r="D185" s="134" t="n">
        <x:v>1752</x:v>
      </x:c>
      <x:c r="E185" s="133" t="n">
        <x:v>32.6</x:v>
      </x:c>
      <x:c r="F185" s="134" t="n">
        <x:v>381</x:v>
      </x:c>
      <x:c r="G185" s="134" t="n">
        <x:v>0</x:v>
      </x:c>
      <x:c r="H185" s="134" t="n">
        <x:v>0</x:v>
      </x:c>
      <x:c r="I185" s="134" t="n">
        <x:v>0</x:v>
      </x:c>
      <x:c r="J185" s="133" t="n">
        <x:v>0</x:v>
      </x:c>
      <x:c r="K185" s="133" t="n">
        <x:v>0</x:v>
      </x:c>
      <x:c r="L185" s="133" t="n">
        <x:v>0</x:v>
      </x:c>
      <x:c r="M185" s="133" t="n">
        <x:v>0</x:v>
      </x:c>
      <x:c r="N185" s="133" t="n">
        <x:v>0</x:v>
      </x:c>
      <x:c r="O185" s="133" t="n">
        <x:v>0</x:v>
      </x:c>
      <x:c r="P185" s="132"/>
    </x:row>
    <x:row r="186">
      <x:c r="A186" s="136" t="str">
        <x:v>01015001501</x:v>
      </x:c>
      <x:c r="B186" s="132" t="str">
        <x:v>Calhoun County</x:v>
      </x:c>
      <x:c r="C186" s="132" t="n">
        <x:v>0</x:v>
      </x:c>
      <x:c r="D186" s="134" t="n">
        <x:v>3421</x:v>
      </x:c>
      <x:c r="E186" s="133" t="n">
        <x:v>17.6</x:v>
      </x:c>
      <x:c r="F186" s="134" t="n">
        <x:v>1870</x:v>
      </x:c>
      <x:c r="G186" s="134" t="n">
        <x:v>0</x:v>
      </x:c>
      <x:c r="H186" s="134" t="n">
        <x:v>0</x:v>
      </x:c>
      <x:c r="I186" s="134" t="n">
        <x:v>0</x:v>
      </x:c>
      <x:c r="J186" s="133" t="n">
        <x:v>0</x:v>
      </x:c>
      <x:c r="K186" s="133" t="n">
        <x:v>0</x:v>
      </x:c>
      <x:c r="L186" s="133" t="n">
        <x:v>0</x:v>
      </x:c>
      <x:c r="M186" s="133" t="n">
        <x:v>0</x:v>
      </x:c>
      <x:c r="N186" s="133" t="n">
        <x:v>0</x:v>
      </x:c>
      <x:c r="O186" s="133" t="n">
        <x:v>0</x:v>
      </x:c>
      <x:c r="P186" s="132"/>
    </x:row>
    <x:row r="187">
      <x:c r="A187" s="136" t="str">
        <x:v>01015001801</x:v>
      </x:c>
      <x:c r="B187" s="132" t="str">
        <x:v>Calhoun County</x:v>
      </x:c>
      <x:c r="C187" s="132" t="n">
        <x:v>0</x:v>
      </x:c>
      <x:c r="D187" s="134" t="n">
        <x:v>2440</x:v>
      </x:c>
      <x:c r="E187" s="133" t="n">
        <x:v>29.5</x:v>
      </x:c>
      <x:c r="F187" s="134" t="n">
        <x:v>925</x:v>
      </x:c>
      <x:c r="G187" s="134" t="n">
        <x:v>0</x:v>
      </x:c>
      <x:c r="H187" s="134" t="n">
        <x:v>0</x:v>
      </x:c>
      <x:c r="I187" s="134" t="n">
        <x:v>0</x:v>
      </x:c>
      <x:c r="J187" s="133" t="n">
        <x:v>0</x:v>
      </x:c>
      <x:c r="K187" s="133" t="n">
        <x:v>0</x:v>
      </x:c>
      <x:c r="L187" s="133" t="n">
        <x:v>0</x:v>
      </x:c>
      <x:c r="M187" s="133" t="n">
        <x:v>0</x:v>
      </x:c>
      <x:c r="N187" s="133" t="n">
        <x:v>0</x:v>
      </x:c>
      <x:c r="O187" s="133" t="n">
        <x:v>0</x:v>
      </x:c>
      <x:c r="P187" s="132"/>
    </x:row>
    <x:row r="188">
      <x:c r="A188" s="136" t="str">
        <x:v>01015002300</x:v>
      </x:c>
      <x:c r="B188" s="132" t="str">
        <x:v>Calhoun County</x:v>
      </x:c>
      <x:c r="C188" s="132" t="n">
        <x:v>0</x:v>
      </x:c>
      <x:c r="D188" s="134" t="n">
        <x:v>3717</x:v>
      </x:c>
      <x:c r="E188" s="133" t="n">
        <x:v>15.5</x:v>
      </x:c>
      <x:c r="F188" s="134" t="n">
        <x:v>2208</x:v>
      </x:c>
      <x:c r="G188" s="134" t="n">
        <x:v>0</x:v>
      </x:c>
      <x:c r="H188" s="134" t="n">
        <x:v>0</x:v>
      </x:c>
      <x:c r="I188" s="134" t="n">
        <x:v>0</x:v>
      </x:c>
      <x:c r="J188" s="133" t="n">
        <x:v>0</x:v>
      </x:c>
      <x:c r="K188" s="133" t="n">
        <x:v>0</x:v>
      </x:c>
      <x:c r="L188" s="133" t="n">
        <x:v>0</x:v>
      </x:c>
      <x:c r="M188" s="133" t="n">
        <x:v>0</x:v>
      </x:c>
      <x:c r="N188" s="133" t="n">
        <x:v>0</x:v>
      </x:c>
      <x:c r="O188" s="133" t="n">
        <x:v>0</x:v>
      </x:c>
      <x:c r="P188" s="132"/>
    </x:row>
    <x:row r="189">
      <x:c r="A189" s="136" t="str">
        <x:v>01015002502</x:v>
      </x:c>
      <x:c r="B189" s="132" t="str">
        <x:v>Calhoun County</x:v>
      </x:c>
      <x:c r="C189" s="132" t="n">
        <x:v>0</x:v>
      </x:c>
      <x:c r="D189" s="134" t="n">
        <x:v>4553</x:v>
      </x:c>
      <x:c r="E189" s="133" t="n">
        <x:v>12.6</x:v>
      </x:c>
      <x:c r="F189" s="134" t="n">
        <x:v>2429</x:v>
      </x:c>
      <x:c r="G189" s="134" t="n">
        <x:v>0</x:v>
      </x:c>
      <x:c r="H189" s="134" t="n">
        <x:v>0</x:v>
      </x:c>
      <x:c r="I189" s="134" t="n">
        <x:v>0</x:v>
      </x:c>
      <x:c r="J189" s="133" t="n">
        <x:v>0</x:v>
      </x:c>
      <x:c r="K189" s="133" t="n">
        <x:v>0</x:v>
      </x:c>
      <x:c r="L189" s="133" t="n">
        <x:v>0</x:v>
      </x:c>
      <x:c r="M189" s="133" t="n">
        <x:v>0</x:v>
      </x:c>
      <x:c r="N189" s="133" t="n">
        <x:v>0</x:v>
      </x:c>
      <x:c r="O189" s="133" t="n">
        <x:v>0</x:v>
      </x:c>
      <x:c r="P189" s="132"/>
    </x:row>
    <x:row r="190">
      <x:c r="A190" s="136" t="str">
        <x:v>01015002503</x:v>
      </x:c>
      <x:c r="B190" s="132" t="str">
        <x:v>Calhoun County</x:v>
      </x:c>
      <x:c r="C190" s="132" t="n">
        <x:v>0</x:v>
      </x:c>
      <x:c r="D190" s="134" t="n">
        <x:v>3861</x:v>
      </x:c>
      <x:c r="E190" s="133" t="n">
        <x:v>14.4</x:v>
      </x:c>
      <x:c r="F190" s="134" t="n">
        <x:v>2672</x:v>
      </x:c>
      <x:c r="G190" s="134" t="n">
        <x:v>0</x:v>
      </x:c>
      <x:c r="H190" s="134" t="n">
        <x:v>0</x:v>
      </x:c>
      <x:c r="I190" s="134" t="n">
        <x:v>0</x:v>
      </x:c>
      <x:c r="J190" s="133" t="n">
        <x:v>0</x:v>
      </x:c>
      <x:c r="K190" s="133" t="n">
        <x:v>0</x:v>
      </x:c>
      <x:c r="L190" s="133" t="n">
        <x:v>0</x:v>
      </x:c>
      <x:c r="M190" s="133" t="n">
        <x:v>0</x:v>
      </x:c>
      <x:c r="N190" s="133" t="n">
        <x:v>0</x:v>
      </x:c>
      <x:c r="O190" s="133" t="n">
        <x:v>0</x:v>
      </x:c>
      <x:c r="P190" s="132"/>
    </x:row>
    <x:row r="191">
      <x:c r="A191" s="136" t="str">
        <x:v>01015002504</x:v>
      </x:c>
      <x:c r="B191" s="132" t="str">
        <x:v>Calhoun County</x:v>
      </x:c>
      <x:c r="C191" s="132" t="n">
        <x:v>0</x:v>
      </x:c>
      <x:c r="D191" s="134" t="n">
        <x:v>3181</x:v>
      </x:c>
      <x:c r="E191" s="133" t="n">
        <x:v>13</x:v>
      </x:c>
      <x:c r="F191" s="134" t="n">
        <x:v>2110</x:v>
      </x:c>
      <x:c r="G191" s="134" t="n">
        <x:v>0</x:v>
      </x:c>
      <x:c r="H191" s="134" t="n">
        <x:v>0</x:v>
      </x:c>
      <x:c r="I191" s="134" t="n">
        <x:v>0</x:v>
      </x:c>
      <x:c r="J191" s="133" t="n">
        <x:v>0</x:v>
      </x:c>
      <x:c r="K191" s="133" t="n">
        <x:v>0</x:v>
      </x:c>
      <x:c r="L191" s="133" t="n">
        <x:v>0</x:v>
      </x:c>
      <x:c r="M191" s="133" t="n">
        <x:v>0</x:v>
      </x:c>
      <x:c r="N191" s="133" t="n">
        <x:v>0</x:v>
      </x:c>
      <x:c r="O191" s="133" t="n">
        <x:v>0</x:v>
      </x:c>
      <x:c r="P191" s="132"/>
    </x:row>
    <x:row r="192">
      <x:c r="A192" s="136" t="str">
        <x:v>01015981901</x:v>
      </x:c>
      <x:c r="B192" s="132" t="str">
        <x:v>Calhoun County</x:v>
      </x:c>
      <x:c r="C192" s="132" t="n">
        <x:v>0</x:v>
      </x:c>
      <x:c r="D192" s="134" t="n">
        <x:v>8</x:v>
      </x:c>
      <x:c r="E192" s="133"/>
      <x:c r="F192" s="134" t="n">
        <x:v>0</x:v>
      </x:c>
      <x:c r="G192" s="134" t="n">
        <x:v>0</x:v>
      </x:c>
      <x:c r="H192" s="134" t="n">
        <x:v>0</x:v>
      </x:c>
      <x:c r="I192" s="134" t="n">
        <x:v>0</x:v>
      </x:c>
      <x:c r="J192" s="133" t="n">
        <x:v>0</x:v>
      </x:c>
      <x:c r="K192" s="133"/>
      <x:c r="L192" s="133" t="n">
        <x:v>0</x:v>
      </x:c>
      <x:c r="M192" s="133"/>
      <x:c r="N192" s="133"/>
      <x:c r="O192" s="133"/>
      <x:c r="P192" s="132"/>
    </x:row>
    <x:row r="193">
      <x:c r="A193" s="136" t="str">
        <x:v>01015981902</x:v>
      </x:c>
      <x:c r="B193" s="132" t="str">
        <x:v>Calhoun County</x:v>
      </x:c>
      <x:c r="C193" s="132" t="n">
        <x:v>0</x:v>
      </x:c>
      <x:c r="D193" s="134" t="n">
        <x:v>2</x:v>
      </x:c>
      <x:c r="E193" s="133"/>
      <x:c r="F193" s="134" t="n">
        <x:v>0</x:v>
      </x:c>
      <x:c r="G193" s="134" t="n">
        <x:v>0</x:v>
      </x:c>
      <x:c r="H193" s="134" t="n">
        <x:v>0</x:v>
      </x:c>
      <x:c r="I193" s="134" t="n">
        <x:v>0</x:v>
      </x:c>
      <x:c r="J193" s="133" t="n">
        <x:v>0</x:v>
      </x:c>
      <x:c r="K193" s="133"/>
      <x:c r="L193" s="133"/>
      <x:c r="M193" s="133"/>
      <x:c r="N193" s="133"/>
      <x:c r="O193" s="133"/>
      <x:c r="P193" s="132"/>
    </x:row>
    <x:row r="194">
      <x:c r="A194" s="136" t="str">
        <x:v>01015981903</x:v>
      </x:c>
      <x:c r="B194" s="132" t="str">
        <x:v>Calhoun County</x:v>
      </x:c>
      <x:c r="C194" s="132" t="n">
        <x:v>0</x:v>
      </x:c>
      <x:c r="D194" s="134" t="n">
        <x:v>0</x:v>
      </x:c>
      <x:c r="E194" s="133"/>
      <x:c r="F194" s="134" t="n">
        <x:v>0</x:v>
      </x:c>
      <x:c r="G194" s="134" t="n">
        <x:v>0</x:v>
      </x:c>
      <x:c r="H194" s="134" t="n">
        <x:v>0</x:v>
      </x:c>
      <x:c r="I194" s="134" t="n">
        <x:v>0</x:v>
      </x:c>
      <x:c r="J194" s="133"/>
      <x:c r="K194" s="133"/>
      <x:c r="L194" s="133"/>
      <x:c r="M194" s="133"/>
      <x:c r="N194" s="133"/>
      <x:c r="O194" s="133"/>
      <x:c r="P194" s="132"/>
    </x:row>
    <x:row r="195">
      <x:c r="A195" s="136" t="str">
        <x:v>01017954002</x:v>
      </x:c>
      <x:c r="B195" s="132" t="str">
        <x:v>Chambers County</x:v>
      </x:c>
      <x:c r="C195" s="132" t="n">
        <x:v>0</x:v>
      </x:c>
      <x:c r="D195" s="134" t="n">
        <x:v>3908</x:v>
      </x:c>
      <x:c r="E195" s="133" t="n">
        <x:v>23.9</x:v>
      </x:c>
      <x:c r="F195" s="134" t="n">
        <x:v>1618</x:v>
      </x:c>
      <x:c r="G195" s="134" t="n">
        <x:v>0</x:v>
      </x:c>
      <x:c r="H195" s="134" t="n">
        <x:v>0</x:v>
      </x:c>
      <x:c r="I195" s="134" t="n">
        <x:v>0</x:v>
      </x:c>
      <x:c r="J195" s="133" t="n">
        <x:v>0</x:v>
      </x:c>
      <x:c r="K195" s="133" t="n">
        <x:v>0</x:v>
      </x:c>
      <x:c r="L195" s="133" t="n">
        <x:v>0</x:v>
      </x:c>
      <x:c r="M195" s="133" t="n">
        <x:v>0</x:v>
      </x:c>
      <x:c r="N195" s="133" t="n">
        <x:v>0</x:v>
      </x:c>
      <x:c r="O195" s="133" t="n">
        <x:v>0</x:v>
      </x:c>
      <x:c r="P195" s="132"/>
    </x:row>
    <x:row r="196">
      <x:c r="A196" s="136" t="str">
        <x:v>01017954200</x:v>
      </x:c>
      <x:c r="B196" s="132" t="str">
        <x:v>Chambers County</x:v>
      </x:c>
      <x:c r="C196" s="132" t="n">
        <x:v>0</x:v>
      </x:c>
      <x:c r="D196" s="134" t="n">
        <x:v>3309</x:v>
      </x:c>
      <x:c r="E196" s="133" t="n">
        <x:v>8.3</x:v>
      </x:c>
      <x:c r="F196" s="134" t="n">
        <x:v>2674</x:v>
      </x:c>
      <x:c r="G196" s="134" t="n">
        <x:v>0</x:v>
      </x:c>
      <x:c r="H196" s="134" t="n">
        <x:v>0</x:v>
      </x:c>
      <x:c r="I196" s="134" t="n">
        <x:v>0</x:v>
      </x:c>
      <x:c r="J196" s="133" t="n">
        <x:v>0</x:v>
      </x:c>
      <x:c r="K196" s="133" t="n">
        <x:v>0</x:v>
      </x:c>
      <x:c r="L196" s="133" t="n">
        <x:v>0</x:v>
      </x:c>
      <x:c r="M196" s="133" t="n">
        <x:v>0</x:v>
      </x:c>
      <x:c r="N196" s="133" t="n">
        <x:v>0</x:v>
      </x:c>
      <x:c r="O196" s="133" t="n">
        <x:v>0</x:v>
      </x:c>
      <x:c r="P196" s="132"/>
    </x:row>
    <x:row r="197">
      <x:c r="A197" s="136" t="str">
        <x:v>01019955802</x:v>
      </x:c>
      <x:c r="B197" s="132" t="str">
        <x:v>Cherokee County</x:v>
      </x:c>
      <x:c r="C197" s="132" t="n">
        <x:v>0</x:v>
      </x:c>
      <x:c r="D197" s="134" t="n">
        <x:v>3087</x:v>
      </x:c>
      <x:c r="E197" s="133" t="n">
        <x:v>13.5</x:v>
      </x:c>
      <x:c r="F197" s="134" t="n">
        <x:v>1903</x:v>
      </x:c>
      <x:c r="G197" s="134" t="n">
        <x:v>0</x:v>
      </x:c>
      <x:c r="H197" s="134" t="n">
        <x:v>0</x:v>
      </x:c>
      <x:c r="I197" s="134" t="n">
        <x:v>0</x:v>
      </x:c>
      <x:c r="J197" s="133" t="n">
        <x:v>0</x:v>
      </x:c>
      <x:c r="K197" s="133" t="n">
        <x:v>0</x:v>
      </x:c>
      <x:c r="L197" s="133" t="n">
        <x:v>0</x:v>
      </x:c>
      <x:c r="M197" s="133" t="n">
        <x:v>0</x:v>
      </x:c>
      <x:c r="N197" s="133" t="n">
        <x:v>0</x:v>
      </x:c>
      <x:c r="O197" s="133" t="n">
        <x:v>0</x:v>
      </x:c>
      <x:c r="P197" s="132"/>
    </x:row>
    <x:row r="198">
      <x:c r="A198" s="136" t="str">
        <x:v>01021060401</x:v>
      </x:c>
      <x:c r="B198" s="132" t="str">
        <x:v>Chilton County</x:v>
      </x:c>
      <x:c r="C198" s="132" t="n">
        <x:v>0</x:v>
      </x:c>
      <x:c r="D198" s="134" t="n">
        <x:v>5749</x:v>
      </x:c>
      <x:c r="E198" s="133" t="n">
        <x:v>7.7</x:v>
      </x:c>
      <x:c r="F198" s="134" t="n">
        <x:v>4360</x:v>
      </x:c>
      <x:c r="G198" s="134" t="n">
        <x:v>0</x:v>
      </x:c>
      <x:c r="H198" s="134" t="n">
        <x:v>0</x:v>
      </x:c>
      <x:c r="I198" s="134" t="n">
        <x:v>0</x:v>
      </x:c>
      <x:c r="J198" s="133" t="n">
        <x:v>0</x:v>
      </x:c>
      <x:c r="K198" s="133" t="n">
        <x:v>0</x:v>
      </x:c>
      <x:c r="L198" s="133" t="n">
        <x:v>0</x:v>
      </x:c>
      <x:c r="M198" s="133" t="n">
        <x:v>0</x:v>
      </x:c>
      <x:c r="N198" s="133" t="n">
        <x:v>0</x:v>
      </x:c>
      <x:c r="O198" s="133" t="n">
        <x:v>0</x:v>
      </x:c>
      <x:c r="P198" s="132"/>
    </x:row>
    <x:row r="199">
      <x:c r="A199" s="136" t="str">
        <x:v>01021060403</x:v>
      </x:c>
      <x:c r="B199" s="132" t="str">
        <x:v>Chilton County</x:v>
      </x:c>
      <x:c r="C199" s="132" t="n">
        <x:v>0</x:v>
      </x:c>
      <x:c r="D199" s="134" t="n">
        <x:v>3818</x:v>
      </x:c>
      <x:c r="E199" s="133" t="n">
        <x:v>14.2</x:v>
      </x:c>
      <x:c r="F199" s="134" t="n">
        <x:v>2635</x:v>
      </x:c>
      <x:c r="G199" s="134" t="n">
        <x:v>0</x:v>
      </x:c>
      <x:c r="H199" s="134" t="n">
        <x:v>0</x:v>
      </x:c>
      <x:c r="I199" s="134" t="n">
        <x:v>0</x:v>
      </x:c>
      <x:c r="J199" s="133" t="n">
        <x:v>0</x:v>
      </x:c>
      <x:c r="K199" s="133" t="n">
        <x:v>0</x:v>
      </x:c>
      <x:c r="L199" s="133" t="n">
        <x:v>0</x:v>
      </x:c>
      <x:c r="M199" s="133" t="n">
        <x:v>0</x:v>
      </x:c>
      <x:c r="N199" s="133" t="n">
        <x:v>0</x:v>
      </x:c>
      <x:c r="O199" s="133" t="n">
        <x:v>0</x:v>
      </x:c>
      <x:c r="P199" s="132"/>
    </x:row>
    <x:row r="200">
      <x:c r="A200" s="136" t="str">
        <x:v>01021060404</x:v>
      </x:c>
      <x:c r="B200" s="132" t="str">
        <x:v>Chilton County</x:v>
      </x:c>
      <x:c r="C200" s="132" t="n">
        <x:v>0</x:v>
      </x:c>
      <x:c r="D200" s="134" t="n">
        <x:v>5517</x:v>
      </x:c>
      <x:c r="E200" s="133" t="n">
        <x:v>14.9</x:v>
      </x:c>
      <x:c r="F200" s="134" t="n">
        <x:v>2461</x:v>
      </x:c>
      <x:c r="G200" s="134" t="n">
        <x:v>0</x:v>
      </x:c>
      <x:c r="H200" s="134" t="n">
        <x:v>0</x:v>
      </x:c>
      <x:c r="I200" s="134" t="n">
        <x:v>0</x:v>
      </x:c>
      <x:c r="J200" s="133" t="n">
        <x:v>0</x:v>
      </x:c>
      <x:c r="K200" s="133" t="n">
        <x:v>0</x:v>
      </x:c>
      <x:c r="L200" s="133" t="n">
        <x:v>0</x:v>
      </x:c>
      <x:c r="M200" s="133" t="n">
        <x:v>0</x:v>
      </x:c>
      <x:c r="N200" s="133"/>
      <x:c r="O200" s="133" t="n">
        <x:v>0</x:v>
      </x:c>
      <x:c r="P200" s="132"/>
    </x:row>
    <x:row r="201">
      <x:c r="A201" s="136" t="str">
        <x:v>01021060701</x:v>
      </x:c>
      <x:c r="B201" s="132" t="str">
        <x:v>Chilton County</x:v>
      </x:c>
      <x:c r="C201" s="132" t="n">
        <x:v>0</x:v>
      </x:c>
      <x:c r="D201" s="134" t="n">
        <x:v>2552</x:v>
      </x:c>
      <x:c r="E201" s="133" t="n">
        <x:v>17.5</x:v>
      </x:c>
      <x:c r="F201" s="134" t="n">
        <x:v>1255</x:v>
      </x:c>
      <x:c r="G201" s="134" t="n">
        <x:v>0</x:v>
      </x:c>
      <x:c r="H201" s="134" t="n">
        <x:v>0</x:v>
      </x:c>
      <x:c r="I201" s="134" t="n">
        <x:v>0</x:v>
      </x:c>
      <x:c r="J201" s="133" t="n">
        <x:v>0</x:v>
      </x:c>
      <x:c r="K201" s="133" t="n">
        <x:v>0</x:v>
      </x:c>
      <x:c r="L201" s="133" t="n">
        <x:v>0</x:v>
      </x:c>
      <x:c r="M201" s="133" t="n">
        <x:v>0</x:v>
      </x:c>
      <x:c r="N201" s="133" t="n">
        <x:v>0</x:v>
      </x:c>
      <x:c r="O201" s="133" t="n">
        <x:v>0</x:v>
      </x:c>
      <x:c r="P201" s="132"/>
    </x:row>
    <x:row r="202">
      <x:c r="A202" s="136" t="str">
        <x:v>01029959600</x:v>
      </x:c>
      <x:c r="B202" s="132" t="str">
        <x:v>Cleburne County</x:v>
      </x:c>
      <x:c r="C202" s="132" t="n">
        <x:v>0</x:v>
      </x:c>
      <x:c r="D202" s="134" t="n">
        <x:v>4206</x:v>
      </x:c>
      <x:c r="E202" s="133" t="n">
        <x:v>15.9</x:v>
      </x:c>
      <x:c r="F202" s="134" t="n">
        <x:v>2631</x:v>
      </x:c>
      <x:c r="G202" s="134" t="n">
        <x:v>0</x:v>
      </x:c>
      <x:c r="H202" s="134" t="n">
        <x:v>0</x:v>
      </x:c>
      <x:c r="I202" s="134" t="n">
        <x:v>0</x:v>
      </x:c>
      <x:c r="J202" s="133" t="n">
        <x:v>0</x:v>
      </x:c>
      <x:c r="K202" s="133" t="n">
        <x:v>0</x:v>
      </x:c>
      <x:c r="L202" s="133" t="n">
        <x:v>0</x:v>
      </x:c>
      <x:c r="M202" s="133" t="n">
        <x:v>0</x:v>
      </x:c>
      <x:c r="N202" s="133" t="n">
        <x:v>0</x:v>
      </x:c>
      <x:c r="O202" s="133" t="n">
        <x:v>0</x:v>
      </x:c>
      <x:c r="P202" s="132"/>
    </x:row>
    <x:row r="203">
      <x:c r="A203" s="136" t="str">
        <x:v>01031010200</x:v>
      </x:c>
      <x:c r="B203" s="132" t="str">
        <x:v>Coffee County</x:v>
      </x:c>
      <x:c r="C203" s="132" t="n">
        <x:v>0</x:v>
      </x:c>
      <x:c r="D203" s="134" t="n">
        <x:v>1853</x:v>
      </x:c>
      <x:c r="E203" s="133" t="n">
        <x:v>13.1</x:v>
      </x:c>
      <x:c r="F203" s="134" t="n">
        <x:v>1253</x:v>
      </x:c>
      <x:c r="G203" s="134" t="n">
        <x:v>0</x:v>
      </x:c>
      <x:c r="H203" s="134" t="n">
        <x:v>0</x:v>
      </x:c>
      <x:c r="I203" s="134" t="n">
        <x:v>0</x:v>
      </x:c>
      <x:c r="J203" s="133" t="n">
        <x:v>0</x:v>
      </x:c>
      <x:c r="K203" s="133" t="n">
        <x:v>0</x:v>
      </x:c>
      <x:c r="L203" s="133" t="n">
        <x:v>0</x:v>
      </x:c>
      <x:c r="M203" s="133" t="n">
        <x:v>0</x:v>
      </x:c>
      <x:c r="N203" s="133" t="n">
        <x:v>0</x:v>
      </x:c>
      <x:c r="O203" s="133" t="n">
        <x:v>0</x:v>
      </x:c>
      <x:c r="P203" s="132"/>
    </x:row>
    <x:row r="204">
      <x:c r="A204" s="136" t="str">
        <x:v>01031010400</x:v>
      </x:c>
      <x:c r="B204" s="132" t="str">
        <x:v>Coffee County</x:v>
      </x:c>
      <x:c r="C204" s="132" t="n">
        <x:v>0</x:v>
      </x:c>
      <x:c r="D204" s="134" t="n">
        <x:v>1914</x:v>
      </x:c>
      <x:c r="E204" s="133" t="n">
        <x:v>21.1</x:v>
      </x:c>
      <x:c r="F204" s="134" t="n">
        <x:v>1016</x:v>
      </x:c>
      <x:c r="G204" s="134" t="n">
        <x:v>0</x:v>
      </x:c>
      <x:c r="H204" s="134" t="n">
        <x:v>0</x:v>
      </x:c>
      <x:c r="I204" s="134" t="n">
        <x:v>0</x:v>
      </x:c>
      <x:c r="J204" s="133" t="n">
        <x:v>0</x:v>
      </x:c>
      <x:c r="K204" s="133" t="n">
        <x:v>0</x:v>
      </x:c>
      <x:c r="L204" s="133" t="n">
        <x:v>0</x:v>
      </x:c>
      <x:c r="M204" s="133" t="n">
        <x:v>0</x:v>
      </x:c>
      <x:c r="N204" s="133" t="n">
        <x:v>0</x:v>
      </x:c>
      <x:c r="O204" s="133" t="n">
        <x:v>0</x:v>
      </x:c>
      <x:c r="P204" s="132"/>
    </x:row>
    <x:row r="205">
      <x:c r="A205" s="136" t="str">
        <x:v>01031010500</x:v>
      </x:c>
      <x:c r="B205" s="132" t="str">
        <x:v>Coffee County</x:v>
      </x:c>
      <x:c r="C205" s="132" t="n">
        <x:v>0</x:v>
      </x:c>
      <x:c r="D205" s="134" t="n">
        <x:v>4412</x:v>
      </x:c>
      <x:c r="E205" s="133" t="n">
        <x:v>24.4</x:v>
      </x:c>
      <x:c r="F205" s="134" t="n">
        <x:v>2268</x:v>
      </x:c>
      <x:c r="G205" s="134" t="n">
        <x:v>0</x:v>
      </x:c>
      <x:c r="H205" s="134" t="n">
        <x:v>0</x:v>
      </x:c>
      <x:c r="I205" s="134" t="n">
        <x:v>0</x:v>
      </x:c>
      <x:c r="J205" s="133" t="n">
        <x:v>0</x:v>
      </x:c>
      <x:c r="K205" s="133" t="n">
        <x:v>0</x:v>
      </x:c>
      <x:c r="L205" s="133" t="n">
        <x:v>0</x:v>
      </x:c>
      <x:c r="M205" s="133" t="n">
        <x:v>0</x:v>
      </x:c>
      <x:c r="N205" s="133" t="n">
        <x:v>0</x:v>
      </x:c>
      <x:c r="O205" s="133" t="n">
        <x:v>0</x:v>
      </x:c>
      <x:c r="P205" s="132"/>
    </x:row>
    <x:row r="206">
      <x:c r="A206" s="136" t="str">
        <x:v>01031010600</x:v>
      </x:c>
      <x:c r="B206" s="132" t="str">
        <x:v>Coffee County</x:v>
      </x:c>
      <x:c r="C206" s="132" t="n">
        <x:v>0</x:v>
      </x:c>
      <x:c r="D206" s="134" t="n">
        <x:v>1522</x:v>
      </x:c>
      <x:c r="E206" s="133" t="n">
        <x:v>14</x:v>
      </x:c>
      <x:c r="F206" s="134" t="n">
        <x:v>864</x:v>
      </x:c>
      <x:c r="G206" s="134" t="n">
        <x:v>0</x:v>
      </x:c>
      <x:c r="H206" s="134" t="n">
        <x:v>0</x:v>
      </x:c>
      <x:c r="I206" s="134" t="n">
        <x:v>0</x:v>
      </x:c>
      <x:c r="J206" s="133" t="n">
        <x:v>0</x:v>
      </x:c>
      <x:c r="K206" s="133" t="n">
        <x:v>0</x:v>
      </x:c>
      <x:c r="L206" s="133" t="n">
        <x:v>0</x:v>
      </x:c>
      <x:c r="M206" s="133" t="n">
        <x:v>0</x:v>
      </x:c>
      <x:c r="N206" s="133" t="n">
        <x:v>0</x:v>
      </x:c>
      <x:c r="O206" s="133" t="n">
        <x:v>0</x:v>
      </x:c>
      <x:c r="P206" s="132"/>
    </x:row>
    <x:row r="207">
      <x:c r="A207" s="136" t="str">
        <x:v>01031010800</x:v>
      </x:c>
      <x:c r="B207" s="132" t="str">
        <x:v>Coffee County</x:v>
      </x:c>
      <x:c r="C207" s="132" t="n">
        <x:v>0</x:v>
      </x:c>
      <x:c r="D207" s="134" t="n">
        <x:v>3196</x:v>
      </x:c>
      <x:c r="E207" s="133" t="n">
        <x:v>6.9</x:v>
      </x:c>
      <x:c r="F207" s="134" t="n">
        <x:v>3004</x:v>
      </x:c>
      <x:c r="G207" s="134" t="n">
        <x:v>0</x:v>
      </x:c>
      <x:c r="H207" s="134" t="n">
        <x:v>0</x:v>
      </x:c>
      <x:c r="I207" s="134" t="n">
        <x:v>0</x:v>
      </x:c>
      <x:c r="J207" s="133" t="n">
        <x:v>0</x:v>
      </x:c>
      <x:c r="K207" s="133" t="n">
        <x:v>0</x:v>
      </x:c>
      <x:c r="L207" s="133" t="n">
        <x:v>0</x:v>
      </x:c>
      <x:c r="M207" s="133" t="n">
        <x:v>0</x:v>
      </x:c>
      <x:c r="N207" s="133" t="n">
        <x:v>0</x:v>
      </x:c>
      <x:c r="O207" s="133" t="n">
        <x:v>0</x:v>
      </x:c>
      <x:c r="P207" s="132"/>
    </x:row>
    <x:row r="208">
      <x:c r="A208" s="136" t="str">
        <x:v>01031010900</x:v>
      </x:c>
      <x:c r="B208" s="132" t="str">
        <x:v>Coffee County</x:v>
      </x:c>
      <x:c r="C208" s="132" t="n">
        <x:v>0</x:v>
      </x:c>
      <x:c r="D208" s="134" t="n">
        <x:v>2159</x:v>
      </x:c>
      <x:c r="E208" s="133" t="n">
        <x:v>41.9</x:v>
      </x:c>
      <x:c r="F208" s="134" t="n">
        <x:v>1394</x:v>
      </x:c>
      <x:c r="G208" s="134" t="n">
        <x:v>0</x:v>
      </x:c>
      <x:c r="H208" s="134" t="n">
        <x:v>0</x:v>
      </x:c>
      <x:c r="I208" s="134" t="n">
        <x:v>0</x:v>
      </x:c>
      <x:c r="J208" s="133" t="n">
        <x:v>0</x:v>
      </x:c>
      <x:c r="K208" s="133" t="n">
        <x:v>0</x:v>
      </x:c>
      <x:c r="L208" s="133" t="n">
        <x:v>0</x:v>
      </x:c>
      <x:c r="M208" s="133" t="n">
        <x:v>0</x:v>
      </x:c>
      <x:c r="N208" s="133" t="n">
        <x:v>0</x:v>
      </x:c>
      <x:c r="O208" s="133" t="n">
        <x:v>0</x:v>
      </x:c>
      <x:c r="P208" s="132"/>
    </x:row>
    <x:row r="209">
      <x:c r="A209" s="136" t="str">
        <x:v>01031011000</x:v>
      </x:c>
      <x:c r="B209" s="132" t="str">
        <x:v>Coffee County</x:v>
      </x:c>
      <x:c r="C209" s="132" t="n">
        <x:v>0</x:v>
      </x:c>
      <x:c r="D209" s="134" t="n">
        <x:v>3748</x:v>
      </x:c>
      <x:c r="E209" s="133" t="n">
        <x:v>25.3</x:v>
      </x:c>
      <x:c r="F209" s="134" t="n">
        <x:v>2762</x:v>
      </x:c>
      <x:c r="G209" s="134" t="n">
        <x:v>0</x:v>
      </x:c>
      <x:c r="H209" s="134" t="n">
        <x:v>0</x:v>
      </x:c>
      <x:c r="I209" s="134" t="n">
        <x:v>0</x:v>
      </x:c>
      <x:c r="J209" s="133" t="n">
        <x:v>0</x:v>
      </x:c>
      <x:c r="K209" s="133" t="n">
        <x:v>0</x:v>
      </x:c>
      <x:c r="L209" s="133" t="n">
        <x:v>0</x:v>
      </x:c>
      <x:c r="M209" s="133" t="n">
        <x:v>0</x:v>
      </x:c>
      <x:c r="N209" s="133" t="n">
        <x:v>0</x:v>
      </x:c>
      <x:c r="O209" s="133" t="n">
        <x:v>0</x:v>
      </x:c>
      <x:c r="P209" s="132"/>
    </x:row>
    <x:row r="210">
      <x:c r="A210" s="136" t="str">
        <x:v>01031011100</x:v>
      </x:c>
      <x:c r="B210" s="132" t="str">
        <x:v>Coffee County</x:v>
      </x:c>
      <x:c r="C210" s="132" t="n">
        <x:v>1</x:v>
      </x:c>
      <x:c r="D210" s="134" t="n">
        <x:v>2077</x:v>
      </x:c>
      <x:c r="E210" s="133" t="n">
        <x:v>18.9</x:v>
      </x:c>
      <x:c r="F210" s="134" t="n">
        <x:v>1666</x:v>
      </x:c>
      <x:c r="G210" s="134" t="n">
        <x:v>0</x:v>
      </x:c>
      <x:c r="H210" s="134" t="n">
        <x:v>0</x:v>
      </x:c>
      <x:c r="I210" s="134" t="n">
        <x:v>0</x:v>
      </x:c>
      <x:c r="J210" s="133" t="n">
        <x:v>0</x:v>
      </x:c>
      <x:c r="K210" s="133" t="n">
        <x:v>0</x:v>
      </x:c>
      <x:c r="L210" s="133" t="n">
        <x:v>0</x:v>
      </x:c>
      <x:c r="M210" s="133" t="n">
        <x:v>0</x:v>
      </x:c>
      <x:c r="N210" s="133" t="n">
        <x:v>0</x:v>
      </x:c>
      <x:c r="O210" s="133" t="n">
        <x:v>0</x:v>
      </x:c>
      <x:c r="P210" s="132"/>
    </x:row>
    <x:row r="211">
      <x:c r="A211" s="136" t="str">
        <x:v>01033020706</x:v>
      </x:c>
      <x:c r="B211" s="132" t="str">
        <x:v>Colbert County</x:v>
      </x:c>
      <x:c r="C211" s="132" t="n">
        <x:v>0</x:v>
      </x:c>
      <x:c r="D211" s="134" t="n">
        <x:v>5857</x:v>
      </x:c>
      <x:c r="E211" s="133" t="n">
        <x:v>16.4</x:v>
      </x:c>
      <x:c r="F211" s="134" t="n">
        <x:v>4235</x:v>
      </x:c>
      <x:c r="G211" s="134" t="n">
        <x:v>0</x:v>
      </x:c>
      <x:c r="H211" s="134" t="n">
        <x:v>0</x:v>
      </x:c>
      <x:c r="I211" s="134" t="n">
        <x:v>0</x:v>
      </x:c>
      <x:c r="J211" s="133" t="n">
        <x:v>0</x:v>
      </x:c>
      <x:c r="K211" s="133" t="n">
        <x:v>0</x:v>
      </x:c>
      <x:c r="L211" s="133" t="n">
        <x:v>0</x:v>
      </x:c>
      <x:c r="M211" s="133" t="n">
        <x:v>0</x:v>
      </x:c>
      <x:c r="N211" s="133" t="n">
        <x:v>0</x:v>
      </x:c>
      <x:c r="O211" s="133" t="n">
        <x:v>0</x:v>
      </x:c>
      <x:c r="P211" s="132"/>
    </x:row>
    <x:row r="212">
      <x:c r="A212" s="136" t="str">
        <x:v>01035960500</x:v>
      </x:c>
      <x:c r="B212" s="132" t="str">
        <x:v>Conecuh County</x:v>
      </x:c>
      <x:c r="C212" s="132" t="n">
        <x:v>0</x:v>
      </x:c>
      <x:c r="D212" s="134" t="n">
        <x:v>1591</x:v>
      </x:c>
      <x:c r="E212" s="133" t="n">
        <x:v>26.4</x:v>
      </x:c>
      <x:c r="F212" s="134" t="n">
        <x:v>695</x:v>
      </x:c>
      <x:c r="G212" s="134" t="n">
        <x:v>0</x:v>
      </x:c>
      <x:c r="H212" s="134" t="n">
        <x:v>0</x:v>
      </x:c>
      <x:c r="I212" s="134" t="n">
        <x:v>0</x:v>
      </x:c>
      <x:c r="J212" s="133" t="n">
        <x:v>0</x:v>
      </x:c>
      <x:c r="K212" s="133" t="n">
        <x:v>0</x:v>
      </x:c>
      <x:c r="L212" s="133" t="n">
        <x:v>0</x:v>
      </x:c>
      <x:c r="M212" s="133" t="n">
        <x:v>0</x:v>
      </x:c>
      <x:c r="N212" s="133" t="n">
        <x:v>0</x:v>
      </x:c>
      <x:c r="O212" s="133" t="n">
        <x:v>0</x:v>
      </x:c>
      <x:c r="P212" s="132"/>
    </x:row>
    <x:row r="213">
      <x:c r="A213" s="136" t="str">
        <x:v>01039961800</x:v>
      </x:c>
      <x:c r="B213" s="132" t="str">
        <x:v>Covington County</x:v>
      </x:c>
      <x:c r="C213" s="132" t="n">
        <x:v>0</x:v>
      </x:c>
      <x:c r="D213" s="134" t="n">
        <x:v>3114</x:v>
      </x:c>
      <x:c r="E213" s="133" t="n">
        <x:v>29.9</x:v>
      </x:c>
      <x:c r="F213" s="134" t="n">
        <x:v>1203</x:v>
      </x:c>
      <x:c r="G213" s="134" t="n">
        <x:v>0</x:v>
      </x:c>
      <x:c r="H213" s="134" t="n">
        <x:v>0</x:v>
      </x:c>
      <x:c r="I213" s="134" t="n">
        <x:v>0</x:v>
      </x:c>
      <x:c r="J213" s="133" t="n">
        <x:v>0</x:v>
      </x:c>
      <x:c r="K213" s="133" t="n">
        <x:v>0</x:v>
      </x:c>
      <x:c r="L213" s="133" t="n">
        <x:v>0</x:v>
      </x:c>
      <x:c r="M213" s="133" t="n">
        <x:v>0</x:v>
      </x:c>
      <x:c r="N213" s="133" t="n">
        <x:v>0</x:v>
      </x:c>
      <x:c r="O213" s="133" t="n">
        <x:v>0</x:v>
      </x:c>
      <x:c r="P213" s="132"/>
    </x:row>
    <x:row r="214">
      <x:c r="A214" s="136" t="str">
        <x:v>01039961900</x:v>
      </x:c>
      <x:c r="B214" s="132" t="str">
        <x:v>Covington County</x:v>
      </x:c>
      <x:c r="C214" s="132" t="n">
        <x:v>0</x:v>
      </x:c>
      <x:c r="D214" s="134" t="n">
        <x:v>2192</x:v>
      </x:c>
      <x:c r="E214" s="133" t="n">
        <x:v>15.1</x:v>
      </x:c>
      <x:c r="F214" s="134" t="n">
        <x:v>1182</x:v>
      </x:c>
      <x:c r="G214" s="134" t="n">
        <x:v>0</x:v>
      </x:c>
      <x:c r="H214" s="134" t="n">
        <x:v>0</x:v>
      </x:c>
      <x:c r="I214" s="134" t="n">
        <x:v>0</x:v>
      </x:c>
      <x:c r="J214" s="133" t="n">
        <x:v>0</x:v>
      </x:c>
      <x:c r="K214" s="133" t="n">
        <x:v>0</x:v>
      </x:c>
      <x:c r="L214" s="133" t="n">
        <x:v>0</x:v>
      </x:c>
      <x:c r="M214" s="133" t="n">
        <x:v>0</x:v>
      </x:c>
      <x:c r="N214" s="133" t="n">
        <x:v>0</x:v>
      </x:c>
      <x:c r="O214" s="133" t="n">
        <x:v>0</x:v>
      </x:c>
      <x:c r="P214" s="132"/>
    </x:row>
    <x:row r="215">
      <x:c r="A215" s="136" t="str">
        <x:v>01039962000</x:v>
      </x:c>
      <x:c r="B215" s="132" t="str">
        <x:v>Covington County</x:v>
      </x:c>
      <x:c r="C215" s="132" t="n">
        <x:v>0</x:v>
      </x:c>
      <x:c r="D215" s="134" t="n">
        <x:v>3911</x:v>
      </x:c>
      <x:c r="E215" s="133" t="n">
        <x:v>26</x:v>
      </x:c>
      <x:c r="F215" s="134" t="n">
        <x:v>2039</x:v>
      </x:c>
      <x:c r="G215" s="134" t="n">
        <x:v>0</x:v>
      </x:c>
      <x:c r="H215" s="134" t="n">
        <x:v>0</x:v>
      </x:c>
      <x:c r="I215" s="134" t="n">
        <x:v>0</x:v>
      </x:c>
      <x:c r="J215" s="133" t="n">
        <x:v>0</x:v>
      </x:c>
      <x:c r="K215" s="133" t="n">
        <x:v>0</x:v>
      </x:c>
      <x:c r="L215" s="133" t="n">
        <x:v>0</x:v>
      </x:c>
      <x:c r="M215" s="133" t="n">
        <x:v>0</x:v>
      </x:c>
      <x:c r="N215" s="133" t="n">
        <x:v>0</x:v>
      </x:c>
      <x:c r="O215" s="133" t="n">
        <x:v>0</x:v>
      </x:c>
      <x:c r="P215" s="132"/>
    </x:row>
    <x:row r="216">
      <x:c r="A216" s="136" t="str">
        <x:v>01039962100</x:v>
      </x:c>
      <x:c r="B216" s="132" t="str">
        <x:v>Covington County</x:v>
      </x:c>
      <x:c r="C216" s="132" t="n">
        <x:v>0</x:v>
      </x:c>
      <x:c r="D216" s="134" t="n">
        <x:v>1798</x:v>
      </x:c>
      <x:c r="E216" s="133" t="n">
        <x:v>16.5</x:v>
      </x:c>
      <x:c r="F216" s="134" t="n">
        <x:v>868</x:v>
      </x:c>
      <x:c r="G216" s="134" t="n">
        <x:v>0</x:v>
      </x:c>
      <x:c r="H216" s="134" t="n">
        <x:v>0</x:v>
      </x:c>
      <x:c r="I216" s="134" t="n">
        <x:v>0</x:v>
      </x:c>
      <x:c r="J216" s="133" t="n">
        <x:v>0</x:v>
      </x:c>
      <x:c r="K216" s="133" t="n">
        <x:v>0</x:v>
      </x:c>
      <x:c r="L216" s="133" t="n">
        <x:v>0</x:v>
      </x:c>
      <x:c r="M216" s="133" t="n">
        <x:v>0</x:v>
      </x:c>
      <x:c r="N216" s="133" t="n">
        <x:v>0</x:v>
      </x:c>
      <x:c r="O216" s="133" t="n">
        <x:v>0</x:v>
      </x:c>
      <x:c r="P216" s="132"/>
    </x:row>
    <x:row r="217">
      <x:c r="A217" s="136" t="str">
        <x:v>01039962700</x:v>
      </x:c>
      <x:c r="B217" s="132" t="str">
        <x:v>Covington County</x:v>
      </x:c>
      <x:c r="C217" s="132" t="n">
        <x:v>0</x:v>
      </x:c>
      <x:c r="D217" s="134" t="n">
        <x:v>1690</x:v>
      </x:c>
      <x:c r="E217" s="133" t="n">
        <x:v>41.5</x:v>
      </x:c>
      <x:c r="F217" s="134" t="n">
        <x:v>619</x:v>
      </x:c>
      <x:c r="G217" s="134" t="n">
        <x:v>0</x:v>
      </x:c>
      <x:c r="H217" s="134" t="n">
        <x:v>0</x:v>
      </x:c>
      <x:c r="I217" s="134" t="n">
        <x:v>0</x:v>
      </x:c>
      <x:c r="J217" s="133" t="n">
        <x:v>0</x:v>
      </x:c>
      <x:c r="K217" s="133" t="n">
        <x:v>0</x:v>
      </x:c>
      <x:c r="L217" s="133" t="n">
        <x:v>0</x:v>
      </x:c>
      <x:c r="M217" s="133" t="n">
        <x:v>0</x:v>
      </x:c>
      <x:c r="N217" s="133" t="n">
        <x:v>0</x:v>
      </x:c>
      <x:c r="O217" s="133" t="n">
        <x:v>0</x:v>
      </x:c>
      <x:c r="P217" s="132"/>
    </x:row>
    <x:row r="218">
      <x:c r="A218" s="136" t="str">
        <x:v>01041963400</x:v>
      </x:c>
      <x:c r="B218" s="132" t="str">
        <x:v>Crenshaw County</x:v>
      </x:c>
      <x:c r="C218" s="132" t="n">
        <x:v>0</x:v>
      </x:c>
      <x:c r="D218" s="134" t="n">
        <x:v>1850</x:v>
      </x:c>
      <x:c r="E218" s="133" t="n">
        <x:v>19.7</x:v>
      </x:c>
      <x:c r="F218" s="134" t="n">
        <x:v>1155</x:v>
      </x:c>
      <x:c r="G218" s="134" t="n">
        <x:v>0</x:v>
      </x:c>
      <x:c r="H218" s="134" t="n">
        <x:v>0</x:v>
      </x:c>
      <x:c r="I218" s="134" t="n">
        <x:v>0</x:v>
      </x:c>
      <x:c r="J218" s="133" t="n">
        <x:v>0</x:v>
      </x:c>
      <x:c r="K218" s="133" t="n">
        <x:v>0</x:v>
      </x:c>
      <x:c r="L218" s="133" t="n">
        <x:v>0</x:v>
      </x:c>
      <x:c r="M218" s="133" t="n">
        <x:v>0</x:v>
      </x:c>
      <x:c r="N218" s="133" t="n">
        <x:v>0</x:v>
      </x:c>
      <x:c r="O218" s="133" t="n">
        <x:v>0</x:v>
      </x:c>
      <x:c r="P218" s="132"/>
    </x:row>
    <x:row r="219">
      <x:c r="A219" s="136" t="str">
        <x:v>01041963500</x:v>
      </x:c>
      <x:c r="B219" s="132" t="str">
        <x:v>Crenshaw County</x:v>
      </x:c>
      <x:c r="C219" s="132" t="n">
        <x:v>0</x:v>
      </x:c>
      <x:c r="D219" s="134" t="n">
        <x:v>1962</x:v>
      </x:c>
      <x:c r="E219" s="133" t="n">
        <x:v>15.6</x:v>
      </x:c>
      <x:c r="F219" s="134" t="n">
        <x:v>1538</x:v>
      </x:c>
      <x:c r="G219" s="134" t="n">
        <x:v>0</x:v>
      </x:c>
      <x:c r="H219" s="134" t="n">
        <x:v>0</x:v>
      </x:c>
      <x:c r="I219" s="134" t="n">
        <x:v>0</x:v>
      </x:c>
      <x:c r="J219" s="133" t="n">
        <x:v>0</x:v>
      </x:c>
      <x:c r="K219" s="133" t="n">
        <x:v>0</x:v>
      </x:c>
      <x:c r="L219" s="133" t="n">
        <x:v>0</x:v>
      </x:c>
      <x:c r="M219" s="133" t="n">
        <x:v>0</x:v>
      </x:c>
      <x:c r="N219" s="133" t="n">
        <x:v>0</x:v>
      </x:c>
      <x:c r="O219" s="133" t="n">
        <x:v>0</x:v>
      </x:c>
      <x:c r="P219" s="132"/>
    </x:row>
    <x:row r="220">
      <x:c r="A220" s="136" t="str">
        <x:v>01041963700</x:v>
      </x:c>
      <x:c r="B220" s="132" t="str">
        <x:v>Crenshaw County</x:v>
      </x:c>
      <x:c r="C220" s="132" t="n">
        <x:v>0</x:v>
      </x:c>
      <x:c r="D220" s="134" t="n">
        <x:v>3621</x:v>
      </x:c>
      <x:c r="E220" s="133" t="n">
        <x:v>20.1</x:v>
      </x:c>
      <x:c r="F220" s="134" t="n">
        <x:v>1764</x:v>
      </x:c>
      <x:c r="G220" s="134" t="n">
        <x:v>0</x:v>
      </x:c>
      <x:c r="H220" s="134" t="n">
        <x:v>1</x:v>
      </x:c>
      <x:c r="I220" s="134" t="n">
        <x:v>0</x:v>
      </x:c>
      <x:c r="J220" s="133" t="n">
        <x:v>0.027616680475006903</x:v>
      </x:c>
      <x:c r="K220" s="133" t="n">
        <x:v>0</x:v>
      </x:c>
      <x:c r="L220" s="133" t="n">
        <x:v>0</x:v>
      </x:c>
      <x:c r="M220" s="133" t="n">
        <x:v>0</x:v>
      </x:c>
      <x:c r="N220" s="133" t="n">
        <x:v>0</x:v>
      </x:c>
      <x:c r="O220" s="133" t="n">
        <x:v>0</x:v>
      </x:c>
      <x:c r="P220" s="132"/>
    </x:row>
    <x:row r="221">
      <x:c r="A221" s="136" t="str">
        <x:v>01043964100</x:v>
      </x:c>
      <x:c r="B221" s="132" t="str">
        <x:v>Cullman County</x:v>
      </x:c>
      <x:c r="C221" s="132" t="n">
        <x:v>0</x:v>
      </x:c>
      <x:c r="D221" s="134" t="n">
        <x:v>5974</x:v>
      </x:c>
      <x:c r="E221" s="133" t="n">
        <x:v>17.8</x:v>
      </x:c>
      <x:c r="F221" s="134" t="n">
        <x:v>3439</x:v>
      </x:c>
      <x:c r="G221" s="134" t="n">
        <x:v>0</x:v>
      </x:c>
      <x:c r="H221" s="134" t="n">
        <x:v>0</x:v>
      </x:c>
      <x:c r="I221" s="134" t="n">
        <x:v>0</x:v>
      </x:c>
      <x:c r="J221" s="133" t="n">
        <x:v>0</x:v>
      </x:c>
      <x:c r="K221" s="133" t="n">
        <x:v>0</x:v>
      </x:c>
      <x:c r="L221" s="133" t="n">
        <x:v>0</x:v>
      </x:c>
      <x:c r="M221" s="133" t="n">
        <x:v>0</x:v>
      </x:c>
      <x:c r="N221" s="133" t="n">
        <x:v>0</x:v>
      </x:c>
      <x:c r="O221" s="133" t="n">
        <x:v>0</x:v>
      </x:c>
      <x:c r="P221" s="132"/>
    </x:row>
    <x:row r="222">
      <x:c r="A222" s="136" t="str">
        <x:v>01043964201</x:v>
      </x:c>
      <x:c r="B222" s="132" t="str">
        <x:v>Cullman County</x:v>
      </x:c>
      <x:c r="C222" s="132" t="n">
        <x:v>0</x:v>
      </x:c>
      <x:c r="D222" s="134" t="n">
        <x:v>3663</x:v>
      </x:c>
      <x:c r="E222" s="133" t="n">
        <x:v>10.4</x:v>
      </x:c>
      <x:c r="F222" s="134" t="n">
        <x:v>2605</x:v>
      </x:c>
      <x:c r="G222" s="134" t="n">
        <x:v>0</x:v>
      </x:c>
      <x:c r="H222" s="134" t="n">
        <x:v>0</x:v>
      </x:c>
      <x:c r="I222" s="134" t="n">
        <x:v>0</x:v>
      </x:c>
      <x:c r="J222" s="133" t="n">
        <x:v>0</x:v>
      </x:c>
      <x:c r="K222" s="133" t="n">
        <x:v>0</x:v>
      </x:c>
      <x:c r="L222" s="133" t="n">
        <x:v>0</x:v>
      </x:c>
      <x:c r="M222" s="133" t="n">
        <x:v>0</x:v>
      </x:c>
      <x:c r="N222" s="133" t="n">
        <x:v>0</x:v>
      </x:c>
      <x:c r="O222" s="133" t="n">
        <x:v>0</x:v>
      </x:c>
      <x:c r="P222" s="132"/>
    </x:row>
    <x:row r="223">
      <x:c r="A223" s="136" t="str">
        <x:v>01043964202</x:v>
      </x:c>
      <x:c r="B223" s="132" t="str">
        <x:v>Cullman County</x:v>
      </x:c>
      <x:c r="C223" s="132" t="n">
        <x:v>0</x:v>
      </x:c>
      <x:c r="D223" s="134" t="n">
        <x:v>4140</x:v>
      </x:c>
      <x:c r="E223" s="133" t="n">
        <x:v>16</x:v>
      </x:c>
      <x:c r="F223" s="134" t="n">
        <x:v>2110</x:v>
      </x:c>
      <x:c r="G223" s="134" t="n">
        <x:v>0</x:v>
      </x:c>
      <x:c r="H223" s="134" t="n">
        <x:v>0</x:v>
      </x:c>
      <x:c r="I223" s="134" t="n">
        <x:v>0</x:v>
      </x:c>
      <x:c r="J223" s="133" t="n">
        <x:v>0</x:v>
      </x:c>
      <x:c r="K223" s="133" t="n">
        <x:v>0</x:v>
      </x:c>
      <x:c r="L223" s="133" t="n">
        <x:v>0</x:v>
      </x:c>
      <x:c r="M223" s="133" t="n">
        <x:v>0</x:v>
      </x:c>
      <x:c r="N223" s="133" t="n">
        <x:v>0</x:v>
      </x:c>
      <x:c r="O223" s="133" t="n">
        <x:v>0</x:v>
      </x:c>
      <x:c r="P223" s="132"/>
    </x:row>
    <x:row r="224">
      <x:c r="A224" s="136" t="str">
        <x:v>01043964300</x:v>
      </x:c>
      <x:c r="B224" s="132" t="str">
        <x:v>Cullman County</x:v>
      </x:c>
      <x:c r="C224" s="132" t="n">
        <x:v>0</x:v>
      </x:c>
      <x:c r="D224" s="134" t="n">
        <x:v>5372</x:v>
      </x:c>
      <x:c r="E224" s="133" t="n">
        <x:v>13.4</x:v>
      </x:c>
      <x:c r="F224" s="134" t="n">
        <x:v>3675</x:v>
      </x:c>
      <x:c r="G224" s="134" t="n">
        <x:v>0</x:v>
      </x:c>
      <x:c r="H224" s="134" t="n">
        <x:v>0</x:v>
      </x:c>
      <x:c r="I224" s="134" t="n">
        <x:v>0</x:v>
      </x:c>
      <x:c r="J224" s="133" t="n">
        <x:v>0</x:v>
      </x:c>
      <x:c r="K224" s="133" t="n">
        <x:v>0</x:v>
      </x:c>
      <x:c r="L224" s="133" t="n">
        <x:v>0</x:v>
      </x:c>
      <x:c r="M224" s="133" t="n">
        <x:v>0</x:v>
      </x:c>
      <x:c r="N224" s="133"/>
      <x:c r="O224" s="133" t="n">
        <x:v>0</x:v>
      </x:c>
      <x:c r="P224" s="132"/>
    </x:row>
    <x:row r="225">
      <x:c r="A225" s="136" t="str">
        <x:v>01043964400</x:v>
      </x:c>
      <x:c r="B225" s="132" t="str">
        <x:v>Cullman County</x:v>
      </x:c>
      <x:c r="C225" s="132" t="n">
        <x:v>0</x:v>
      </x:c>
      <x:c r="D225" s="134" t="n">
        <x:v>4562</x:v>
      </x:c>
      <x:c r="E225" s="133" t="n">
        <x:v>5.9</x:v>
      </x:c>
      <x:c r="F225" s="134" t="n">
        <x:v>2991</x:v>
      </x:c>
      <x:c r="G225" s="134" t="n">
        <x:v>0</x:v>
      </x:c>
      <x:c r="H225" s="134" t="n">
        <x:v>0</x:v>
      </x:c>
      <x:c r="I225" s="134" t="n">
        <x:v>0</x:v>
      </x:c>
      <x:c r="J225" s="133" t="n">
        <x:v>0</x:v>
      </x:c>
      <x:c r="K225" s="133" t="n">
        <x:v>0</x:v>
      </x:c>
      <x:c r="L225" s="133" t="n">
        <x:v>0</x:v>
      </x:c>
      <x:c r="M225" s="133" t="n">
        <x:v>0</x:v>
      </x:c>
      <x:c r="N225" s="133" t="n">
        <x:v>0</x:v>
      </x:c>
      <x:c r="O225" s="133" t="n">
        <x:v>0</x:v>
      </x:c>
      <x:c r="P225" s="132"/>
    </x:row>
    <x:row r="226">
      <x:c r="A226" s="136" t="str">
        <x:v>01043964600</x:v>
      </x:c>
      <x:c r="B226" s="132" t="str">
        <x:v>Cullman County</x:v>
      </x:c>
      <x:c r="C226" s="132" t="n">
        <x:v>0</x:v>
      </x:c>
      <x:c r="D226" s="134" t="n">
        <x:v>4046</x:v>
      </x:c>
      <x:c r="E226" s="133" t="n">
        <x:v>5.3</x:v>
      </x:c>
      <x:c r="F226" s="134" t="n">
        <x:v>3097</x:v>
      </x:c>
      <x:c r="G226" s="134" t="n">
        <x:v>0</x:v>
      </x:c>
      <x:c r="H226" s="134" t="n">
        <x:v>0</x:v>
      </x:c>
      <x:c r="I226" s="134" t="n">
        <x:v>0</x:v>
      </x:c>
      <x:c r="J226" s="133" t="n">
        <x:v>0</x:v>
      </x:c>
      <x:c r="K226" s="133" t="n">
        <x:v>0</x:v>
      </x:c>
      <x:c r="L226" s="133" t="n">
        <x:v>0</x:v>
      </x:c>
      <x:c r="M226" s="133" t="n">
        <x:v>0</x:v>
      </x:c>
      <x:c r="N226" s="133" t="n">
        <x:v>0</x:v>
      </x:c>
      <x:c r="O226" s="133" t="n">
        <x:v>0</x:v>
      </x:c>
      <x:c r="P226" s="132"/>
    </x:row>
    <x:row r="227">
      <x:c r="A227" s="136" t="str">
        <x:v>01043964700</x:v>
      </x:c>
      <x:c r="B227" s="132" t="str">
        <x:v>Cullman County</x:v>
      </x:c>
      <x:c r="C227" s="132" t="n">
        <x:v>0</x:v>
      </x:c>
      <x:c r="D227" s="134" t="n">
        <x:v>5369</x:v>
      </x:c>
      <x:c r="E227" s="133" t="n">
        <x:v>9.7</x:v>
      </x:c>
      <x:c r="F227" s="134" t="n">
        <x:v>3900</x:v>
      </x:c>
      <x:c r="G227" s="134" t="n">
        <x:v>0</x:v>
      </x:c>
      <x:c r="H227" s="134" t="n">
        <x:v>0</x:v>
      </x:c>
      <x:c r="I227" s="134" t="n">
        <x:v>0</x:v>
      </x:c>
      <x:c r="J227" s="133" t="n">
        <x:v>0</x:v>
      </x:c>
      <x:c r="K227" s="133" t="n">
        <x:v>0</x:v>
      </x:c>
      <x:c r="L227" s="133" t="n">
        <x:v>0</x:v>
      </x:c>
      <x:c r="M227" s="133" t="n">
        <x:v>0</x:v>
      </x:c>
      <x:c r="N227" s="133" t="n">
        <x:v>0</x:v>
      </x:c>
      <x:c r="O227" s="133" t="n">
        <x:v>0</x:v>
      </x:c>
      <x:c r="P227" s="132"/>
    </x:row>
    <x:row r="228">
      <x:c r="A228" s="136" t="str">
        <x:v>01043964902</x:v>
      </x:c>
      <x:c r="B228" s="132" t="str">
        <x:v>Cullman County</x:v>
      </x:c>
      <x:c r="C228" s="132" t="n">
        <x:v>0</x:v>
      </x:c>
      <x:c r="D228" s="134" t="n">
        <x:v>4064</x:v>
      </x:c>
      <x:c r="E228" s="133" t="n">
        <x:v>3.7</x:v>
      </x:c>
      <x:c r="F228" s="134" t="n">
        <x:v>2743</x:v>
      </x:c>
      <x:c r="G228" s="134" t="n">
        <x:v>0</x:v>
      </x:c>
      <x:c r="H228" s="134" t="n">
        <x:v>0</x:v>
      </x:c>
      <x:c r="I228" s="134" t="n">
        <x:v>0</x:v>
      </x:c>
      <x:c r="J228" s="133" t="n">
        <x:v>0</x:v>
      </x:c>
      <x:c r="K228" s="133" t="n">
        <x:v>0</x:v>
      </x:c>
      <x:c r="L228" s="133" t="n">
        <x:v>0</x:v>
      </x:c>
      <x:c r="M228" s="133" t="n">
        <x:v>0</x:v>
      </x:c>
      <x:c r="N228" s="133" t="n">
        <x:v>0</x:v>
      </x:c>
      <x:c r="O228" s="133" t="n">
        <x:v>0</x:v>
      </x:c>
      <x:c r="P228" s="132"/>
    </x:row>
    <x:row r="229">
      <x:c r="A229" s="136" t="str">
        <x:v>01043965100</x:v>
      </x:c>
      <x:c r="B229" s="132" t="str">
        <x:v>Cullman County</x:v>
      </x:c>
      <x:c r="C229" s="132" t="n">
        <x:v>0</x:v>
      </x:c>
      <x:c r="D229" s="134" t="n">
        <x:v>4255</x:v>
      </x:c>
      <x:c r="E229" s="133" t="n">
        <x:v>15.5</x:v>
      </x:c>
      <x:c r="F229" s="134" t="n">
        <x:v>2973</x:v>
      </x:c>
      <x:c r="G229" s="134" t="n">
        <x:v>0</x:v>
      </x:c>
      <x:c r="H229" s="134" t="n">
        <x:v>0</x:v>
      </x:c>
      <x:c r="I229" s="134" t="n">
        <x:v>0</x:v>
      </x:c>
      <x:c r="J229" s="133" t="n">
        <x:v>0</x:v>
      </x:c>
      <x:c r="K229" s="133" t="n">
        <x:v>0</x:v>
      </x:c>
      <x:c r="L229" s="133" t="n">
        <x:v>0</x:v>
      </x:c>
      <x:c r="M229" s="133" t="n">
        <x:v>0</x:v>
      </x:c>
      <x:c r="N229" s="133" t="n">
        <x:v>0</x:v>
      </x:c>
      <x:c r="O229" s="133" t="n">
        <x:v>0</x:v>
      </x:c>
      <x:c r="P229" s="132"/>
    </x:row>
    <x:row r="230">
      <x:c r="A230" s="136" t="str">
        <x:v>01043965200</x:v>
      </x:c>
      <x:c r="B230" s="132" t="str">
        <x:v>Cullman County</x:v>
      </x:c>
      <x:c r="C230" s="132" t="n">
        <x:v>0</x:v>
      </x:c>
      <x:c r="D230" s="134" t="n">
        <x:v>2395</x:v>
      </x:c>
      <x:c r="E230" s="133" t="n">
        <x:v>16.9</x:v>
      </x:c>
      <x:c r="F230" s="134" t="n">
        <x:v>1440</x:v>
      </x:c>
      <x:c r="G230" s="134" t="n">
        <x:v>0</x:v>
      </x:c>
      <x:c r="H230" s="134" t="n">
        <x:v>0</x:v>
      </x:c>
      <x:c r="I230" s="134" t="n">
        <x:v>0</x:v>
      </x:c>
      <x:c r="J230" s="133" t="n">
        <x:v>0</x:v>
      </x:c>
      <x:c r="K230" s="133" t="n">
        <x:v>0</x:v>
      </x:c>
      <x:c r="L230" s="133" t="n">
        <x:v>0</x:v>
      </x:c>
      <x:c r="M230" s="133" t="n">
        <x:v>0</x:v>
      </x:c>
      <x:c r="N230" s="133" t="n">
        <x:v>0</x:v>
      </x:c>
      <x:c r="O230" s="133" t="n">
        <x:v>0</x:v>
      </x:c>
      <x:c r="P230" s="132"/>
    </x:row>
    <x:row r="231">
      <x:c r="A231" s="136" t="str">
        <x:v>01043965300</x:v>
      </x:c>
      <x:c r="B231" s="132" t="str">
        <x:v>Cullman County</x:v>
      </x:c>
      <x:c r="C231" s="132" t="n">
        <x:v>0</x:v>
      </x:c>
      <x:c r="D231" s="134" t="n">
        <x:v>4944</x:v>
      </x:c>
      <x:c r="E231" s="133" t="n">
        <x:v>25.4</x:v>
      </x:c>
      <x:c r="F231" s="134" t="n">
        <x:v>2538</x:v>
      </x:c>
      <x:c r="G231" s="134" t="n">
        <x:v>0</x:v>
      </x:c>
      <x:c r="H231" s="134" t="n">
        <x:v>0</x:v>
      </x:c>
      <x:c r="I231" s="134" t="n">
        <x:v>0</x:v>
      </x:c>
      <x:c r="J231" s="133" t="n">
        <x:v>0</x:v>
      </x:c>
      <x:c r="K231" s="133" t="n">
        <x:v>0</x:v>
      </x:c>
      <x:c r="L231" s="133" t="n">
        <x:v>0</x:v>
      </x:c>
      <x:c r="M231" s="133" t="n">
        <x:v>0</x:v>
      </x:c>
      <x:c r="N231" s="133" t="n">
        <x:v>0</x:v>
      </x:c>
      <x:c r="O231" s="133" t="n">
        <x:v>0</x:v>
      </x:c>
      <x:c r="P231" s="132"/>
    </x:row>
    <x:row r="232">
      <x:c r="A232" s="136" t="str">
        <x:v>01043965401</x:v>
      </x:c>
      <x:c r="B232" s="132" t="str">
        <x:v>Cullman County</x:v>
      </x:c>
      <x:c r="C232" s="132" t="n">
        <x:v>0</x:v>
      </x:c>
      <x:c r="D232" s="134" t="n">
        <x:v>3171</x:v>
      </x:c>
      <x:c r="E232" s="133" t="n">
        <x:v>22</x:v>
      </x:c>
      <x:c r="F232" s="134" t="n">
        <x:v>1224</x:v>
      </x:c>
      <x:c r="G232" s="134" t="n">
        <x:v>0</x:v>
      </x:c>
      <x:c r="H232" s="134" t="n">
        <x:v>0</x:v>
      </x:c>
      <x:c r="I232" s="134" t="n">
        <x:v>0</x:v>
      </x:c>
      <x:c r="J232" s="133" t="n">
        <x:v>0</x:v>
      </x:c>
      <x:c r="K232" s="133" t="n">
        <x:v>0</x:v>
      </x:c>
      <x:c r="L232" s="133" t="n">
        <x:v>0</x:v>
      </x:c>
      <x:c r="M232" s="133" t="n">
        <x:v>0</x:v>
      </x:c>
      <x:c r="N232" s="133" t="n">
        <x:v>0</x:v>
      </x:c>
      <x:c r="O232" s="133" t="n">
        <x:v>0</x:v>
      </x:c>
      <x:c r="P232" s="132"/>
    </x:row>
    <x:row r="233">
      <x:c r="A233" s="136" t="str">
        <x:v>01043965501</x:v>
      </x:c>
      <x:c r="B233" s="132" t="str">
        <x:v>Cullman County</x:v>
      </x:c>
      <x:c r="C233" s="132" t="n">
        <x:v>0</x:v>
      </x:c>
      <x:c r="D233" s="134" t="n">
        <x:v>1484</x:v>
      </x:c>
      <x:c r="E233" s="133" t="n">
        <x:v>15.7</x:v>
      </x:c>
      <x:c r="F233" s="134" t="n">
        <x:v>1427</x:v>
      </x:c>
      <x:c r="G233" s="134" t="n">
        <x:v>0</x:v>
      </x:c>
      <x:c r="H233" s="134" t="n">
        <x:v>0</x:v>
      </x:c>
      <x:c r="I233" s="134" t="n">
        <x:v>0</x:v>
      </x:c>
      <x:c r="J233" s="133" t="n">
        <x:v>0</x:v>
      </x:c>
      <x:c r="K233" s="133" t="n">
        <x:v>0</x:v>
      </x:c>
      <x:c r="L233" s="133" t="n">
        <x:v>0</x:v>
      </x:c>
      <x:c r="M233" s="133" t="n">
        <x:v>0</x:v>
      </x:c>
      <x:c r="N233" s="133" t="n">
        <x:v>0</x:v>
      </x:c>
      <x:c r="O233" s="133" t="n">
        <x:v>0</x:v>
      </x:c>
      <x:c r="P233" s="132"/>
    </x:row>
    <x:row r="234">
      <x:c r="A234" s="136" t="str">
        <x:v>01045020000</x:v>
      </x:c>
      <x:c r="B234" s="132" t="str">
        <x:v>Dale County</x:v>
      </x:c>
      <x:c r="C234" s="132" t="n">
        <x:v>0</x:v>
      </x:c>
      <x:c r="D234" s="134" t="n">
        <x:v>4474</x:v>
      </x:c>
      <x:c r="E234" s="133" t="n">
        <x:v>11.3</x:v>
      </x:c>
      <x:c r="F234" s="134" t="n">
        <x:v>2729</x:v>
      </x:c>
      <x:c r="G234" s="134" t="n">
        <x:v>0</x:v>
      </x:c>
      <x:c r="H234" s="134" t="n">
        <x:v>0</x:v>
      </x:c>
      <x:c r="I234" s="134" t="n">
        <x:v>0</x:v>
      </x:c>
      <x:c r="J234" s="133" t="n">
        <x:v>0</x:v>
      </x:c>
      <x:c r="K234" s="133" t="n">
        <x:v>0</x:v>
      </x:c>
      <x:c r="L234" s="133" t="n">
        <x:v>0</x:v>
      </x:c>
      <x:c r="M234" s="133" t="n">
        <x:v>0</x:v>
      </x:c>
      <x:c r="N234" s="133" t="n">
        <x:v>0</x:v>
      </x:c>
      <x:c r="O234" s="133" t="n">
        <x:v>0</x:v>
      </x:c>
      <x:c r="P234" s="132"/>
    </x:row>
    <x:row r="235">
      <x:c r="A235" s="136" t="str">
        <x:v>01045020300</x:v>
      </x:c>
      <x:c r="B235" s="132" t="str">
        <x:v>Dale County</x:v>
      </x:c>
      <x:c r="C235" s="132" t="n">
        <x:v>0</x:v>
      </x:c>
      <x:c r="D235" s="134" t="n">
        <x:v>2375</x:v>
      </x:c>
      <x:c r="E235" s="133" t="n">
        <x:v>9.6</x:v>
      </x:c>
      <x:c r="F235" s="134" t="n">
        <x:v>1628</x:v>
      </x:c>
      <x:c r="G235" s="134" t="n">
        <x:v>0</x:v>
      </x:c>
      <x:c r="H235" s="134" t="n">
        <x:v>0</x:v>
      </x:c>
      <x:c r="I235" s="134" t="n">
        <x:v>0</x:v>
      </x:c>
      <x:c r="J235" s="133" t="n">
        <x:v>0</x:v>
      </x:c>
      <x:c r="K235" s="133" t="n">
        <x:v>0</x:v>
      </x:c>
      <x:c r="L235" s="133" t="n">
        <x:v>0</x:v>
      </x:c>
      <x:c r="M235" s="133" t="n">
        <x:v>0</x:v>
      </x:c>
      <x:c r="N235" s="133" t="n">
        <x:v>0</x:v>
      </x:c>
      <x:c r="O235" s="133" t="n">
        <x:v>0</x:v>
      </x:c>
      <x:c r="P235" s="132"/>
    </x:row>
    <x:row r="236">
      <x:c r="A236" s="136" t="str">
        <x:v>01045020400</x:v>
      </x:c>
      <x:c r="B236" s="132" t="str">
        <x:v>Dale County</x:v>
      </x:c>
      <x:c r="C236" s="132" t="n">
        <x:v>0</x:v>
      </x:c>
      <x:c r="D236" s="134" t="n">
        <x:v>2423</x:v>
      </x:c>
      <x:c r="E236" s="133" t="n">
        <x:v>7.8</x:v>
      </x:c>
      <x:c r="F236" s="134" t="n">
        <x:v>1427</x:v>
      </x:c>
      <x:c r="G236" s="134" t="n">
        <x:v>0</x:v>
      </x:c>
      <x:c r="H236" s="134" t="n">
        <x:v>0</x:v>
      </x:c>
      <x:c r="I236" s="134" t="n">
        <x:v>0</x:v>
      </x:c>
      <x:c r="J236" s="133" t="n">
        <x:v>0</x:v>
      </x:c>
      <x:c r="K236" s="133" t="n">
        <x:v>0</x:v>
      </x:c>
      <x:c r="L236" s="133" t="n">
        <x:v>0</x:v>
      </x:c>
      <x:c r="M236" s="133" t="n">
        <x:v>0</x:v>
      </x:c>
      <x:c r="N236" s="133" t="n">
        <x:v>0</x:v>
      </x:c>
      <x:c r="O236" s="133" t="n">
        <x:v>0</x:v>
      </x:c>
      <x:c r="P236" s="132"/>
    </x:row>
    <x:row r="237">
      <x:c r="A237" s="136" t="str">
        <x:v>01045020801</x:v>
      </x:c>
      <x:c r="B237" s="132" t="str">
        <x:v>Dale County</x:v>
      </x:c>
      <x:c r="C237" s="132" t="n">
        <x:v>0</x:v>
      </x:c>
      <x:c r="D237" s="134" t="n">
        <x:v>3163</x:v>
      </x:c>
      <x:c r="E237" s="133" t="n">
        <x:v>30.1</x:v>
      </x:c>
      <x:c r="F237" s="134" t="n">
        <x:v>1679</x:v>
      </x:c>
      <x:c r="G237" s="134" t="n">
        <x:v>0</x:v>
      </x:c>
      <x:c r="H237" s="134" t="n">
        <x:v>0</x:v>
      </x:c>
      <x:c r="I237" s="134" t="n">
        <x:v>0</x:v>
      </x:c>
      <x:c r="J237" s="133" t="n">
        <x:v>0</x:v>
      </x:c>
      <x:c r="K237" s="133" t="n">
        <x:v>0</x:v>
      </x:c>
      <x:c r="L237" s="133" t="n">
        <x:v>0</x:v>
      </x:c>
      <x:c r="M237" s="133" t="n">
        <x:v>0</x:v>
      </x:c>
      <x:c r="N237" s="133" t="n">
        <x:v>0</x:v>
      </x:c>
      <x:c r="O237" s="133" t="n">
        <x:v>0</x:v>
      </x:c>
      <x:c r="P237" s="132"/>
    </x:row>
    <x:row r="238">
      <x:c r="A238" s="136" t="str">
        <x:v>01045021101</x:v>
      </x:c>
      <x:c r="B238" s="132" t="str">
        <x:v>Dale County</x:v>
      </x:c>
      <x:c r="C238" s="132" t="n">
        <x:v>0</x:v>
      </x:c>
      <x:c r="D238" s="134" t="n">
        <x:v>4770</x:v>
      </x:c>
      <x:c r="E238" s="133" t="n">
        <x:v>11.7</x:v>
      </x:c>
      <x:c r="F238" s="134" t="n">
        <x:v>3441</x:v>
      </x:c>
      <x:c r="G238" s="134" t="n">
        <x:v>0</x:v>
      </x:c>
      <x:c r="H238" s="134" t="n">
        <x:v>0</x:v>
      </x:c>
      <x:c r="I238" s="134" t="n">
        <x:v>0</x:v>
      </x:c>
      <x:c r="J238" s="133" t="n">
        <x:v>0</x:v>
      </x:c>
      <x:c r="K238" s="133" t="n">
        <x:v>0</x:v>
      </x:c>
      <x:c r="L238" s="133" t="n">
        <x:v>0</x:v>
      </x:c>
      <x:c r="M238" s="133" t="n">
        <x:v>0</x:v>
      </x:c>
      <x:c r="N238" s="133" t="n">
        <x:v>0</x:v>
      </x:c>
      <x:c r="O238" s="133" t="n">
        <x:v>0</x:v>
      </x:c>
      <x:c r="P238" s="132"/>
    </x:row>
    <x:row r="239">
      <x:c r="A239" s="136" t="str">
        <x:v>01045021102</x:v>
      </x:c>
      <x:c r="B239" s="132" t="str">
        <x:v>Dale County</x:v>
      </x:c>
      <x:c r="C239" s="132" t="n">
        <x:v>0</x:v>
      </x:c>
      <x:c r="D239" s="134" t="n">
        <x:v>4153</x:v>
      </x:c>
      <x:c r="E239" s="133" t="n">
        <x:v>18.2</x:v>
      </x:c>
      <x:c r="F239" s="134" t="n">
        <x:v>2376</x:v>
      </x:c>
      <x:c r="G239" s="134" t="n">
        <x:v>0</x:v>
      </x:c>
      <x:c r="H239" s="134" t="n">
        <x:v>0</x:v>
      </x:c>
      <x:c r="I239" s="134" t="n">
        <x:v>0</x:v>
      </x:c>
      <x:c r="J239" s="133" t="n">
        <x:v>0</x:v>
      </x:c>
      <x:c r="K239" s="133" t="n">
        <x:v>0</x:v>
      </x:c>
      <x:c r="L239" s="133" t="n">
        <x:v>0</x:v>
      </x:c>
      <x:c r="M239" s="133" t="n">
        <x:v>0</x:v>
      </x:c>
      <x:c r="N239" s="133" t="n">
        <x:v>0</x:v>
      </x:c>
      <x:c r="O239" s="133" t="n">
        <x:v>0</x:v>
      </x:c>
      <x:c r="P239" s="132"/>
    </x:row>
    <x:row r="240">
      <x:c r="A240" s="136" t="str">
        <x:v>01045021200</x:v>
      </x:c>
      <x:c r="B240" s="132" t="str">
        <x:v>Dale County</x:v>
      </x:c>
      <x:c r="C240" s="132" t="n">
        <x:v>0</x:v>
      </x:c>
      <x:c r="D240" s="134" t="n">
        <x:v>2391</x:v>
      </x:c>
      <x:c r="E240" s="133" t="n">
        <x:v>5.7</x:v>
      </x:c>
      <x:c r="F240" s="134" t="n">
        <x:v>1797</x:v>
      </x:c>
      <x:c r="G240" s="134" t="n">
        <x:v>0</x:v>
      </x:c>
      <x:c r="H240" s="134" t="n">
        <x:v>0</x:v>
      </x:c>
      <x:c r="I240" s="134" t="n">
        <x:v>0</x:v>
      </x:c>
      <x:c r="J240" s="133" t="n">
        <x:v>0</x:v>
      </x:c>
      <x:c r="K240" s="133" t="n">
        <x:v>0</x:v>
      </x:c>
      <x:c r="L240" s="133" t="n">
        <x:v>0</x:v>
      </x:c>
      <x:c r="M240" s="133" t="n">
        <x:v>0</x:v>
      </x:c>
      <x:c r="N240" s="133" t="n">
        <x:v>0</x:v>
      </x:c>
      <x:c r="O240" s="133" t="n">
        <x:v>0</x:v>
      </x:c>
      <x:c r="P240" s="132"/>
    </x:row>
    <x:row r="241">
      <x:c r="A241" s="136" t="str">
        <x:v>01045021300</x:v>
      </x:c>
      <x:c r="B241" s="132" t="str">
        <x:v>Dale County</x:v>
      </x:c>
      <x:c r="C241" s="132" t="n">
        <x:v>0</x:v>
      </x:c>
      <x:c r="D241" s="134" t="n">
        <x:v>4231</x:v>
      </x:c>
      <x:c r="E241" s="133" t="n">
        <x:v>9.7</x:v>
      </x:c>
      <x:c r="F241" s="134" t="n">
        <x:v>2987</x:v>
      </x:c>
      <x:c r="G241" s="134" t="n">
        <x:v>0</x:v>
      </x:c>
      <x:c r="H241" s="134" t="n">
        <x:v>0</x:v>
      </x:c>
      <x:c r="I241" s="134" t="n">
        <x:v>0</x:v>
      </x:c>
      <x:c r="J241" s="133" t="n">
        <x:v>0</x:v>
      </x:c>
      <x:c r="K241" s="133" t="n">
        <x:v>0</x:v>
      </x:c>
      <x:c r="L241" s="133" t="n">
        <x:v>0</x:v>
      </x:c>
      <x:c r="M241" s="133" t="n">
        <x:v>0</x:v>
      </x:c>
      <x:c r="N241" s="133" t="n">
        <x:v>0</x:v>
      </x:c>
      <x:c r="O241" s="133" t="n">
        <x:v>0</x:v>
      </x:c>
      <x:c r="P241" s="132"/>
    </x:row>
    <x:row r="242">
      <x:c r="A242" s="136" t="str">
        <x:v>01045021400</x:v>
      </x:c>
      <x:c r="B242" s="132" t="str">
        <x:v>Dale County</x:v>
      </x:c>
      <x:c r="C242" s="132" t="n">
        <x:v>0</x:v>
      </x:c>
      <x:c r="D242" s="134" t="n">
        <x:v>5629</x:v>
      </x:c>
      <x:c r="E242" s="133" t="n">
        <x:v>30.1</x:v>
      </x:c>
      <x:c r="F242" s="134" t="n">
        <x:v>2695</x:v>
      </x:c>
      <x:c r="G242" s="134" t="n">
        <x:v>0</x:v>
      </x:c>
      <x:c r="H242" s="134" t="n">
        <x:v>0</x:v>
      </x:c>
      <x:c r="I242" s="134" t="n">
        <x:v>0</x:v>
      </x:c>
      <x:c r="J242" s="133" t="n">
        <x:v>0</x:v>
      </x:c>
      <x:c r="K242" s="133" t="n">
        <x:v>0</x:v>
      </x:c>
      <x:c r="L242" s="133" t="n">
        <x:v>0</x:v>
      </x:c>
      <x:c r="M242" s="133" t="n">
        <x:v>0</x:v>
      </x:c>
      <x:c r="N242" s="133" t="n">
        <x:v>0</x:v>
      </x:c>
      <x:c r="O242" s="133" t="n">
        <x:v>0</x:v>
      </x:c>
      <x:c r="P242" s="132"/>
    </x:row>
    <x:row r="243">
      <x:c r="A243" s="136" t="str">
        <x:v>01047956102</x:v>
      </x:c>
      <x:c r="B243" s="132" t="str">
        <x:v>Dallas County</x:v>
      </x:c>
      <x:c r="C243" s="132" t="n">
        <x:v>0</x:v>
      </x:c>
      <x:c r="D243" s="134" t="n">
        <x:v>2639</x:v>
      </x:c>
      <x:c r="E243" s="133" t="n">
        <x:v>26.5</x:v>
      </x:c>
      <x:c r="F243" s="134" t="n">
        <x:v>1599</x:v>
      </x:c>
      <x:c r="G243" s="134" t="n">
        <x:v>0</x:v>
      </x:c>
      <x:c r="H243" s="134" t="n">
        <x:v>0</x:v>
      </x:c>
      <x:c r="I243" s="134" t="n">
        <x:v>0</x:v>
      </x:c>
      <x:c r="J243" s="133" t="n">
        <x:v>0</x:v>
      </x:c>
      <x:c r="K243" s="133" t="n">
        <x:v>0</x:v>
      </x:c>
      <x:c r="L243" s="133" t="n">
        <x:v>0</x:v>
      </x:c>
      <x:c r="M243" s="133" t="n">
        <x:v>0</x:v>
      </x:c>
      <x:c r="N243" s="133" t="n">
        <x:v>0</x:v>
      </x:c>
      <x:c r="O243" s="133" t="n">
        <x:v>0</x:v>
      </x:c>
      <x:c r="P243" s="132"/>
    </x:row>
    <x:row r="244">
      <x:c r="A244" s="136" t="str">
        <x:v>01049960102</x:v>
      </x:c>
      <x:c r="B244" s="132" t="str">
        <x:v>DeKalb County</x:v>
      </x:c>
      <x:c r="C244" s="132" t="n">
        <x:v>0</x:v>
      </x:c>
      <x:c r="D244" s="134" t="n">
        <x:v>3709</x:v>
      </x:c>
      <x:c r="E244" s="133" t="n">
        <x:v>15.6</x:v>
      </x:c>
      <x:c r="F244" s="134" t="n">
        <x:v>1880</x:v>
      </x:c>
      <x:c r="G244" s="134" t="n">
        <x:v>0</x:v>
      </x:c>
      <x:c r="H244" s="134" t="n">
        <x:v>0</x:v>
      </x:c>
      <x:c r="I244" s="134" t="n">
        <x:v>0</x:v>
      </x:c>
      <x:c r="J244" s="133" t="n">
        <x:v>0</x:v>
      </x:c>
      <x:c r="K244" s="133" t="n">
        <x:v>0</x:v>
      </x:c>
      <x:c r="L244" s="133" t="n">
        <x:v>0</x:v>
      </x:c>
      <x:c r="M244" s="133" t="n">
        <x:v>0</x:v>
      </x:c>
      <x:c r="N244" s="133" t="n">
        <x:v>0</x:v>
      </x:c>
      <x:c r="O244" s="133" t="n">
        <x:v>0</x:v>
      </x:c>
      <x:c r="P244" s="132"/>
    </x:row>
    <x:row r="245">
      <x:c r="A245" s="136" t="str">
        <x:v>01049960200</x:v>
      </x:c>
      <x:c r="B245" s="132" t="str">
        <x:v>DeKalb County</x:v>
      </x:c>
      <x:c r="C245" s="132" t="n">
        <x:v>0</x:v>
      </x:c>
      <x:c r="D245" s="134" t="n">
        <x:v>3518</x:v>
      </x:c>
      <x:c r="E245" s="133" t="n">
        <x:v>17.9</x:v>
      </x:c>
      <x:c r="F245" s="134" t="n">
        <x:v>1599</x:v>
      </x:c>
      <x:c r="G245" s="134" t="n">
        <x:v>0</x:v>
      </x:c>
      <x:c r="H245" s="134" t="n">
        <x:v>0</x:v>
      </x:c>
      <x:c r="I245" s="134" t="n">
        <x:v>0</x:v>
      </x:c>
      <x:c r="J245" s="133" t="n">
        <x:v>0</x:v>
      </x:c>
      <x:c r="K245" s="133" t="n">
        <x:v>0</x:v>
      </x:c>
      <x:c r="L245" s="133" t="n">
        <x:v>0</x:v>
      </x:c>
      <x:c r="M245" s="133" t="n">
        <x:v>0</x:v>
      </x:c>
      <x:c r="N245" s="133" t="n">
        <x:v>0</x:v>
      </x:c>
      <x:c r="O245" s="133" t="n">
        <x:v>0</x:v>
      </x:c>
      <x:c r="P245" s="132"/>
    </x:row>
    <x:row r="246">
      <x:c r="A246" s="136" t="str">
        <x:v>01049960301</x:v>
      </x:c>
      <x:c r="B246" s="132" t="str">
        <x:v>DeKalb County</x:v>
      </x:c>
      <x:c r="C246" s="132" t="n">
        <x:v>0</x:v>
      </x:c>
      <x:c r="D246" s="134" t="n">
        <x:v>956</x:v>
      </x:c>
      <x:c r="E246" s="133" t="n">
        <x:v>5</x:v>
      </x:c>
      <x:c r="F246" s="134" t="n">
        <x:v>703</x:v>
      </x:c>
      <x:c r="G246" s="134" t="n">
        <x:v>0</x:v>
      </x:c>
      <x:c r="H246" s="134" t="n">
        <x:v>0</x:v>
      </x:c>
      <x:c r="I246" s="134" t="n">
        <x:v>0</x:v>
      </x:c>
      <x:c r="J246" s="133" t="n">
        <x:v>0</x:v>
      </x:c>
      <x:c r="K246" s="133" t="n">
        <x:v>0</x:v>
      </x:c>
      <x:c r="L246" s="133" t="n">
        <x:v>0</x:v>
      </x:c>
      <x:c r="M246" s="133" t="n">
        <x:v>0</x:v>
      </x:c>
      <x:c r="N246" s="133" t="n">
        <x:v>0</x:v>
      </x:c>
      <x:c r="O246" s="133" t="n">
        <x:v>0</x:v>
      </x:c>
      <x:c r="P246" s="132"/>
    </x:row>
    <x:row r="247">
      <x:c r="A247" s="136" t="str">
        <x:v>01049960302</x:v>
      </x:c>
      <x:c r="B247" s="132" t="str">
        <x:v>DeKalb County</x:v>
      </x:c>
      <x:c r="C247" s="132" t="n">
        <x:v>0</x:v>
      </x:c>
      <x:c r="D247" s="134" t="n">
        <x:v>1343</x:v>
      </x:c>
      <x:c r="E247" s="133" t="n">
        <x:v>21.3</x:v>
      </x:c>
      <x:c r="F247" s="134" t="n">
        <x:v>733</x:v>
      </x:c>
      <x:c r="G247" s="134" t="n">
        <x:v>0</x:v>
      </x:c>
      <x:c r="H247" s="134" t="n">
        <x:v>0</x:v>
      </x:c>
      <x:c r="I247" s="134" t="n">
        <x:v>0</x:v>
      </x:c>
      <x:c r="J247" s="133" t="n">
        <x:v>0</x:v>
      </x:c>
      <x:c r="K247" s="133" t="n">
        <x:v>0</x:v>
      </x:c>
      <x:c r="L247" s="133" t="n">
        <x:v>0</x:v>
      </x:c>
      <x:c r="M247" s="133" t="n">
        <x:v>0</x:v>
      </x:c>
      <x:c r="N247" s="133" t="n">
        <x:v>0</x:v>
      </x:c>
      <x:c r="O247" s="133" t="n">
        <x:v>0</x:v>
      </x:c>
      <x:c r="P247" s="132"/>
    </x:row>
    <x:row r="248">
      <x:c r="A248" s="136" t="str">
        <x:v>01049960303</x:v>
      </x:c>
      <x:c r="B248" s="132" t="str">
        <x:v>DeKalb County</x:v>
      </x:c>
      <x:c r="C248" s="132" t="n">
        <x:v>0</x:v>
      </x:c>
      <x:c r="D248" s="134" t="n">
        <x:v>4567</x:v>
      </x:c>
      <x:c r="E248" s="133" t="n">
        <x:v>11</x:v>
      </x:c>
      <x:c r="F248" s="134" t="n">
        <x:v>3302</x:v>
      </x:c>
      <x:c r="G248" s="134" t="n">
        <x:v>0</x:v>
      </x:c>
      <x:c r="H248" s="134" t="n">
        <x:v>0</x:v>
      </x:c>
      <x:c r="I248" s="134" t="n">
        <x:v>0</x:v>
      </x:c>
      <x:c r="J248" s="133" t="n">
        <x:v>0</x:v>
      </x:c>
      <x:c r="K248" s="133" t="n">
        <x:v>0</x:v>
      </x:c>
      <x:c r="L248" s="133" t="n">
        <x:v>0</x:v>
      </x:c>
      <x:c r="M248" s="133" t="n">
        <x:v>0</x:v>
      </x:c>
      <x:c r="N248" s="133" t="n">
        <x:v>0</x:v>
      </x:c>
      <x:c r="O248" s="133" t="n">
        <x:v>0</x:v>
      </x:c>
      <x:c r="P248" s="132"/>
    </x:row>
    <x:row r="249">
      <x:c r="A249" s="136" t="str">
        <x:v>01049960401</x:v>
      </x:c>
      <x:c r="B249" s="132" t="str">
        <x:v>DeKalb County</x:v>
      </x:c>
      <x:c r="C249" s="132" t="n">
        <x:v>0</x:v>
      </x:c>
      <x:c r="D249" s="134" t="n">
        <x:v>1289</x:v>
      </x:c>
      <x:c r="E249" s="133" t="n">
        <x:v>17.8</x:v>
      </x:c>
      <x:c r="F249" s="134" t="n">
        <x:v>670</x:v>
      </x:c>
      <x:c r="G249" s="134" t="n">
        <x:v>0</x:v>
      </x:c>
      <x:c r="H249" s="134" t="n">
        <x:v>0</x:v>
      </x:c>
      <x:c r="I249" s="134" t="n">
        <x:v>0</x:v>
      </x:c>
      <x:c r="J249" s="133" t="n">
        <x:v>0</x:v>
      </x:c>
      <x:c r="K249" s="133" t="n">
        <x:v>0</x:v>
      </x:c>
      <x:c r="L249" s="133" t="n">
        <x:v>0</x:v>
      </x:c>
      <x:c r="M249" s="133" t="n">
        <x:v>0</x:v>
      </x:c>
      <x:c r="N249" s="133" t="n">
        <x:v>0</x:v>
      </x:c>
      <x:c r="O249" s="133" t="n">
        <x:v>0</x:v>
      </x:c>
      <x:c r="P249" s="132"/>
    </x:row>
    <x:row r="250">
      <x:c r="A250" s="136" t="str">
        <x:v>01049960402</x:v>
      </x:c>
      <x:c r="B250" s="132" t="str">
        <x:v>DeKalb County</x:v>
      </x:c>
      <x:c r="C250" s="132" t="n">
        <x:v>0</x:v>
      </x:c>
      <x:c r="D250" s="134" t="n">
        <x:v>5587</x:v>
      </x:c>
      <x:c r="E250" s="133" t="n">
        <x:v>10.1</x:v>
      </x:c>
      <x:c r="F250" s="134" t="n">
        <x:v>3915</x:v>
      </x:c>
      <x:c r="G250" s="134" t="n">
        <x:v>0</x:v>
      </x:c>
      <x:c r="H250" s="134" t="n">
        <x:v>0</x:v>
      </x:c>
      <x:c r="I250" s="134" t="n">
        <x:v>0</x:v>
      </x:c>
      <x:c r="J250" s="133" t="n">
        <x:v>0</x:v>
      </x:c>
      <x:c r="K250" s="133" t="n">
        <x:v>0</x:v>
      </x:c>
      <x:c r="L250" s="133" t="n">
        <x:v>0</x:v>
      </x:c>
      <x:c r="M250" s="133" t="n">
        <x:v>0</x:v>
      </x:c>
      <x:c r="N250" s="133" t="n">
        <x:v>0</x:v>
      </x:c>
      <x:c r="O250" s="133" t="n">
        <x:v>0</x:v>
      </x:c>
      <x:c r="P250" s="132"/>
    </x:row>
    <x:row r="251">
      <x:c r="A251" s="136" t="str">
        <x:v>01049960601</x:v>
      </x:c>
      <x:c r="B251" s="132" t="str">
        <x:v>DeKalb County</x:v>
      </x:c>
      <x:c r="C251" s="132" t="n">
        <x:v>0</x:v>
      </x:c>
      <x:c r="D251" s="134" t="n">
        <x:v>1547</x:v>
      </x:c>
      <x:c r="E251" s="133" t="n">
        <x:v>38.5</x:v>
      </x:c>
      <x:c r="F251" s="134" t="n">
        <x:v>652</x:v>
      </x:c>
      <x:c r="G251" s="134" t="n">
        <x:v>0</x:v>
      </x:c>
      <x:c r="H251" s="134" t="n">
        <x:v>0</x:v>
      </x:c>
      <x:c r="I251" s="134" t="n">
        <x:v>0</x:v>
      </x:c>
      <x:c r="J251" s="133" t="n">
        <x:v>0</x:v>
      </x:c>
      <x:c r="K251" s="133" t="n">
        <x:v>0</x:v>
      </x:c>
      <x:c r="L251" s="133" t="n">
        <x:v>0</x:v>
      </x:c>
      <x:c r="M251" s="133" t="n">
        <x:v>0</x:v>
      </x:c>
      <x:c r="N251" s="133"/>
      <x:c r="O251" s="133" t="n">
        <x:v>0</x:v>
      </x:c>
      <x:c r="P251" s="132"/>
    </x:row>
    <x:row r="252">
      <x:c r="A252" s="136" t="str">
        <x:v>01049960701</x:v>
      </x:c>
      <x:c r="B252" s="132" t="str">
        <x:v>DeKalb County</x:v>
      </x:c>
      <x:c r="C252" s="132" t="n">
        <x:v>0</x:v>
      </x:c>
      <x:c r="D252" s="134" t="n">
        <x:v>2320</x:v>
      </x:c>
      <x:c r="E252" s="133" t="n">
        <x:v>33.2</x:v>
      </x:c>
      <x:c r="F252" s="134" t="n">
        <x:v>889</x:v>
      </x:c>
      <x:c r="G252" s="134" t="n">
        <x:v>0</x:v>
      </x:c>
      <x:c r="H252" s="134" t="n">
        <x:v>0</x:v>
      </x:c>
      <x:c r="I252" s="134" t="n">
        <x:v>0</x:v>
      </x:c>
      <x:c r="J252" s="133" t="n">
        <x:v>0</x:v>
      </x:c>
      <x:c r="K252" s="133" t="n">
        <x:v>0</x:v>
      </x:c>
      <x:c r="L252" s="133" t="n">
        <x:v>0</x:v>
      </x:c>
      <x:c r="M252" s="133" t="n">
        <x:v>0</x:v>
      </x:c>
      <x:c r="N252" s="133" t="n">
        <x:v>0</x:v>
      </x:c>
      <x:c r="O252" s="133" t="n">
        <x:v>0</x:v>
      </x:c>
      <x:c r="P252" s="132"/>
    </x:row>
    <x:row r="253">
      <x:c r="A253" s="136" t="str">
        <x:v>01049960702</x:v>
      </x:c>
      <x:c r="B253" s="132" t="str">
        <x:v>DeKalb County</x:v>
      </x:c>
      <x:c r="C253" s="132" t="n">
        <x:v>0</x:v>
      </x:c>
      <x:c r="D253" s="134" t="n">
        <x:v>1294</x:v>
      </x:c>
      <x:c r="E253" s="133" t="n">
        <x:v>16.4</x:v>
      </x:c>
      <x:c r="F253" s="134" t="n">
        <x:v>974</x:v>
      </x:c>
      <x:c r="G253" s="134" t="n">
        <x:v>0</x:v>
      </x:c>
      <x:c r="H253" s="134" t="n">
        <x:v>0</x:v>
      </x:c>
      <x:c r="I253" s="134" t="n">
        <x:v>0</x:v>
      </x:c>
      <x:c r="J253" s="133" t="n">
        <x:v>0</x:v>
      </x:c>
      <x:c r="K253" s="133" t="n">
        <x:v>0</x:v>
      </x:c>
      <x:c r="L253" s="133" t="n">
        <x:v>0</x:v>
      </x:c>
      <x:c r="M253" s="133" t="n">
        <x:v>0</x:v>
      </x:c>
      <x:c r="N253" s="133" t="n">
        <x:v>0</x:v>
      </x:c>
      <x:c r="O253" s="133" t="n">
        <x:v>0</x:v>
      </x:c>
      <x:c r="P253" s="132"/>
    </x:row>
    <x:row r="254">
      <x:c r="A254" s="136" t="str">
        <x:v>01049960703</x:v>
      </x:c>
      <x:c r="B254" s="132" t="str">
        <x:v>DeKalb County</x:v>
      </x:c>
      <x:c r="C254" s="132" t="n">
        <x:v>0</x:v>
      </x:c>
      <x:c r="D254" s="134" t="n">
        <x:v>5153</x:v>
      </x:c>
      <x:c r="E254" s="133" t="n">
        <x:v>36.7</x:v>
      </x:c>
      <x:c r="F254" s="134" t="n">
        <x:v>2031</x:v>
      </x:c>
      <x:c r="G254" s="134" t="n">
        <x:v>0</x:v>
      </x:c>
      <x:c r="H254" s="134" t="n">
        <x:v>0</x:v>
      </x:c>
      <x:c r="I254" s="134" t="n">
        <x:v>0</x:v>
      </x:c>
      <x:c r="J254" s="133" t="n">
        <x:v>0</x:v>
      </x:c>
      <x:c r="K254" s="133" t="n">
        <x:v>0</x:v>
      </x:c>
      <x:c r="L254" s="133" t="n">
        <x:v>0</x:v>
      </x:c>
      <x:c r="M254" s="133" t="n">
        <x:v>0</x:v>
      </x:c>
      <x:c r="N254" s="133" t="n">
        <x:v>0</x:v>
      </x:c>
      <x:c r="O254" s="133" t="n">
        <x:v>0</x:v>
      </x:c>
      <x:c r="P254" s="132"/>
    </x:row>
    <x:row r="255">
      <x:c r="A255" s="136" t="str">
        <x:v>01049960900</x:v>
      </x:c>
      <x:c r="B255" s="132" t="str">
        <x:v>DeKalb County</x:v>
      </x:c>
      <x:c r="C255" s="132" t="n">
        <x:v>0</x:v>
      </x:c>
      <x:c r="D255" s="134" t="n">
        <x:v>3995</x:v>
      </x:c>
      <x:c r="E255" s="133" t="n">
        <x:v>28.5</x:v>
      </x:c>
      <x:c r="F255" s="134" t="n">
        <x:v>1877</x:v>
      </x:c>
      <x:c r="G255" s="134" t="n">
        <x:v>0</x:v>
      </x:c>
      <x:c r="H255" s="134" t="n">
        <x:v>0</x:v>
      </x:c>
      <x:c r="I255" s="134" t="n">
        <x:v>0</x:v>
      </x:c>
      <x:c r="J255" s="133" t="n">
        <x:v>0</x:v>
      </x:c>
      <x:c r="K255" s="133" t="n">
        <x:v>0</x:v>
      </x:c>
      <x:c r="L255" s="133" t="n">
        <x:v>0</x:v>
      </x:c>
      <x:c r="M255" s="133" t="n">
        <x:v>0</x:v>
      </x:c>
      <x:c r="N255" s="133" t="n">
        <x:v>0</x:v>
      </x:c>
      <x:c r="O255" s="133" t="n">
        <x:v>0</x:v>
      </x:c>
      <x:c r="P255" s="132"/>
    </x:row>
    <x:row r="256">
      <x:c r="A256" s="136" t="str">
        <x:v>01049961000</x:v>
      </x:c>
      <x:c r="B256" s="132" t="str">
        <x:v>DeKalb County</x:v>
      </x:c>
      <x:c r="C256" s="132" t="n">
        <x:v>0</x:v>
      </x:c>
      <x:c r="D256" s="134" t="n">
        <x:v>3950</x:v>
      </x:c>
      <x:c r="E256" s="133" t="n">
        <x:v>21.1</x:v>
      </x:c>
      <x:c r="F256" s="134" t="n">
        <x:v>2197</x:v>
      </x:c>
      <x:c r="G256" s="134" t="n">
        <x:v>0</x:v>
      </x:c>
      <x:c r="H256" s="134" t="n">
        <x:v>0</x:v>
      </x:c>
      <x:c r="I256" s="134" t="n">
        <x:v>0</x:v>
      </x:c>
      <x:c r="J256" s="133" t="n">
        <x:v>0</x:v>
      </x:c>
      <x:c r="K256" s="133" t="n">
        <x:v>0</x:v>
      </x:c>
      <x:c r="L256" s="133" t="n">
        <x:v>0</x:v>
      </x:c>
      <x:c r="M256" s="133" t="n">
        <x:v>0</x:v>
      </x:c>
      <x:c r="N256" s="133" t="n">
        <x:v>0</x:v>
      </x:c>
      <x:c r="O256" s="133" t="n">
        <x:v>0</x:v>
      </x:c>
      <x:c r="P256" s="132"/>
    </x:row>
    <x:row r="257">
      <x:c r="A257" s="136" t="str">
        <x:v>01049961100</x:v>
      </x:c>
      <x:c r="B257" s="132" t="str">
        <x:v>DeKalb County</x:v>
      </x:c>
      <x:c r="C257" s="132" t="n">
        <x:v>0</x:v>
      </x:c>
      <x:c r="D257" s="134" t="n">
        <x:v>3336</x:v>
      </x:c>
      <x:c r="E257" s="133" t="n">
        <x:v>23.8</x:v>
      </x:c>
      <x:c r="F257" s="134" t="n">
        <x:v>1463</x:v>
      </x:c>
      <x:c r="G257" s="134" t="n">
        <x:v>0</x:v>
      </x:c>
      <x:c r="H257" s="134" t="n">
        <x:v>0</x:v>
      </x:c>
      <x:c r="I257" s="134" t="n">
        <x:v>0</x:v>
      </x:c>
      <x:c r="J257" s="133" t="n">
        <x:v>0</x:v>
      </x:c>
      <x:c r="K257" s="133" t="n">
        <x:v>0</x:v>
      </x:c>
      <x:c r="L257" s="133" t="n">
        <x:v>0</x:v>
      </x:c>
      <x:c r="M257" s="133" t="n">
        <x:v>0</x:v>
      </x:c>
      <x:c r="N257" s="133" t="n">
        <x:v>0</x:v>
      </x:c>
      <x:c r="O257" s="133" t="n">
        <x:v>0</x:v>
      </x:c>
      <x:c r="P257" s="132"/>
    </x:row>
    <x:row r="258">
      <x:c r="A258" s="136" t="str">
        <x:v>01049961200</x:v>
      </x:c>
      <x:c r="B258" s="132" t="str">
        <x:v>DeKalb County</x:v>
      </x:c>
      <x:c r="C258" s="132" t="n">
        <x:v>0</x:v>
      </x:c>
      <x:c r="D258" s="134" t="n">
        <x:v>2425</x:v>
      </x:c>
      <x:c r="E258" s="133" t="n">
        <x:v>16.1</x:v>
      </x:c>
      <x:c r="F258" s="134" t="n">
        <x:v>1657</x:v>
      </x:c>
      <x:c r="G258" s="134" t="n">
        <x:v>0</x:v>
      </x:c>
      <x:c r="H258" s="134" t="n">
        <x:v>0</x:v>
      </x:c>
      <x:c r="I258" s="134" t="n">
        <x:v>0</x:v>
      </x:c>
      <x:c r="J258" s="133" t="n">
        <x:v>0</x:v>
      </x:c>
      <x:c r="K258" s="133" t="n">
        <x:v>0</x:v>
      </x:c>
      <x:c r="L258" s="133" t="n">
        <x:v>0</x:v>
      </x:c>
      <x:c r="M258" s="133" t="n">
        <x:v>0</x:v>
      </x:c>
      <x:c r="N258" s="133" t="n">
        <x:v>0</x:v>
      </x:c>
      <x:c r="O258" s="133" t="n">
        <x:v>0</x:v>
      </x:c>
      <x:c r="P258" s="132"/>
    </x:row>
    <x:row r="259">
      <x:c r="A259" s="136" t="str">
        <x:v>01051030102</x:v>
      </x:c>
      <x:c r="B259" s="132" t="str">
        <x:v>Elmore County</x:v>
      </x:c>
      <x:c r="C259" s="132" t="n">
        <x:v>0</x:v>
      </x:c>
      <x:c r="D259" s="134" t="n">
        <x:v>2353</x:v>
      </x:c>
      <x:c r="E259" s="133" t="n">
        <x:v>9.3</x:v>
      </x:c>
      <x:c r="F259" s="134" t="n">
        <x:v>1536</x:v>
      </x:c>
      <x:c r="G259" s="134" t="n">
        <x:v>0</x:v>
      </x:c>
      <x:c r="H259" s="134" t="n">
        <x:v>0</x:v>
      </x:c>
      <x:c r="I259" s="134" t="n">
        <x:v>0</x:v>
      </x:c>
      <x:c r="J259" s="133" t="n">
        <x:v>0</x:v>
      </x:c>
      <x:c r="K259" s="133" t="n">
        <x:v>0</x:v>
      </x:c>
      <x:c r="L259" s="133" t="n">
        <x:v>0</x:v>
      </x:c>
      <x:c r="M259" s="133" t="n">
        <x:v>0</x:v>
      </x:c>
      <x:c r="N259" s="133" t="n">
        <x:v>0</x:v>
      </x:c>
      <x:c r="O259" s="133" t="n">
        <x:v>0</x:v>
      </x:c>
      <x:c r="P259" s="132"/>
    </x:row>
    <x:row r="260">
      <x:c r="A260" s="136" t="str">
        <x:v>01051030103</x:v>
      </x:c>
      <x:c r="B260" s="132" t="str">
        <x:v>Elmore County</x:v>
      </x:c>
      <x:c r="C260" s="132" t="n">
        <x:v>0</x:v>
      </x:c>
      <x:c r="D260" s="134" t="n">
        <x:v>5534</x:v>
      </x:c>
      <x:c r="E260" s="133" t="n">
        <x:v>5.7</x:v>
      </x:c>
      <x:c r="F260" s="134" t="n">
        <x:v>1317</x:v>
      </x:c>
      <x:c r="G260" s="134" t="n">
        <x:v>0</x:v>
      </x:c>
      <x:c r="H260" s="134" t="n">
        <x:v>0</x:v>
      </x:c>
      <x:c r="I260" s="134" t="n">
        <x:v>0</x:v>
      </x:c>
      <x:c r="J260" s="133" t="n">
        <x:v>0</x:v>
      </x:c>
      <x:c r="K260" s="133" t="n">
        <x:v>0</x:v>
      </x:c>
      <x:c r="L260" s="133" t="n">
        <x:v>0</x:v>
      </x:c>
      <x:c r="M260" s="133" t="n">
        <x:v>0</x:v>
      </x:c>
      <x:c r="N260" s="133" t="n">
        <x:v>0</x:v>
      </x:c>
      <x:c r="O260" s="133" t="n">
        <x:v>0</x:v>
      </x:c>
      <x:c r="P260" s="132"/>
    </x:row>
    <x:row r="261">
      <x:c r="A261" s="136" t="str">
        <x:v>01051030402</x:v>
      </x:c>
      <x:c r="B261" s="132" t="str">
        <x:v>Elmore County</x:v>
      </x:c>
      <x:c r="C261" s="132" t="n">
        <x:v>0</x:v>
      </x:c>
      <x:c r="D261" s="134" t="n">
        <x:v>4757</x:v>
      </x:c>
      <x:c r="E261" s="133" t="n">
        <x:v>5.2</x:v>
      </x:c>
      <x:c r="F261" s="134" t="n">
        <x:v>3204</x:v>
      </x:c>
      <x:c r="G261" s="134" t="n">
        <x:v>0</x:v>
      </x:c>
      <x:c r="H261" s="134" t="n">
        <x:v>0</x:v>
      </x:c>
      <x:c r="I261" s="134" t="n">
        <x:v>0</x:v>
      </x:c>
      <x:c r="J261" s="133" t="n">
        <x:v>0</x:v>
      </x:c>
      <x:c r="K261" s="133" t="n">
        <x:v>0</x:v>
      </x:c>
      <x:c r="L261" s="133" t="n">
        <x:v>0</x:v>
      </x:c>
      <x:c r="M261" s="133" t="n">
        <x:v>0</x:v>
      </x:c>
      <x:c r="N261" s="133" t="n">
        <x:v>0</x:v>
      </x:c>
      <x:c r="O261" s="133" t="n">
        <x:v>0</x:v>
      </x:c>
      <x:c r="P261" s="132"/>
    </x:row>
    <x:row r="262">
      <x:c r="A262" s="136" t="str">
        <x:v>01051030500</x:v>
      </x:c>
      <x:c r="B262" s="132" t="str">
        <x:v>Elmore County</x:v>
      </x:c>
      <x:c r="C262" s="132" t="n">
        <x:v>0</x:v>
      </x:c>
      <x:c r="D262" s="134" t="n">
        <x:v>5272</x:v>
      </x:c>
      <x:c r="E262" s="133" t="n">
        <x:v>9.3</x:v>
      </x:c>
      <x:c r="F262" s="134" t="n">
        <x:v>3757</x:v>
      </x:c>
      <x:c r="G262" s="134" t="n">
        <x:v>0</x:v>
      </x:c>
      <x:c r="H262" s="134" t="n">
        <x:v>0</x:v>
      </x:c>
      <x:c r="I262" s="134" t="n">
        <x:v>0</x:v>
      </x:c>
      <x:c r="J262" s="133" t="n">
        <x:v>0</x:v>
      </x:c>
      <x:c r="K262" s="133" t="n">
        <x:v>0</x:v>
      </x:c>
      <x:c r="L262" s="133" t="n">
        <x:v>0</x:v>
      </x:c>
      <x:c r="M262" s="133" t="n">
        <x:v>0</x:v>
      </x:c>
      <x:c r="N262" s="133" t="n">
        <x:v>0</x:v>
      </x:c>
      <x:c r="O262" s="133" t="n">
        <x:v>0</x:v>
      </x:c>
      <x:c r="P262" s="132"/>
    </x:row>
    <x:row r="263">
      <x:c r="A263" s="136" t="str">
        <x:v>01051030600</x:v>
      </x:c>
      <x:c r="B263" s="132" t="str">
        <x:v>Elmore County</x:v>
      </x:c>
      <x:c r="C263" s="132" t="n">
        <x:v>0</x:v>
      </x:c>
      <x:c r="D263" s="134" t="n">
        <x:v>7432</x:v>
      </x:c>
      <x:c r="E263" s="133" t="n">
        <x:v>12.7</x:v>
      </x:c>
      <x:c r="F263" s="134" t="n">
        <x:v>4514</x:v>
      </x:c>
      <x:c r="G263" s="134" t="n">
        <x:v>0</x:v>
      </x:c>
      <x:c r="H263" s="134" t="n">
        <x:v>0</x:v>
      </x:c>
      <x:c r="I263" s="134" t="n">
        <x:v>0</x:v>
      </x:c>
      <x:c r="J263" s="133" t="n">
        <x:v>0</x:v>
      </x:c>
      <x:c r="K263" s="133" t="n">
        <x:v>0</x:v>
      </x:c>
      <x:c r="L263" s="133" t="n">
        <x:v>0</x:v>
      </x:c>
      <x:c r="M263" s="133" t="n">
        <x:v>0</x:v>
      </x:c>
      <x:c r="N263" s="133" t="n">
        <x:v>0</x:v>
      </x:c>
      <x:c r="O263" s="133" t="n">
        <x:v>0</x:v>
      </x:c>
      <x:c r="P263" s="132"/>
    </x:row>
    <x:row r="264">
      <x:c r="A264" s="136" t="str">
        <x:v>01051030701</x:v>
      </x:c>
      <x:c r="B264" s="132" t="str">
        <x:v>Elmore County</x:v>
      </x:c>
      <x:c r="C264" s="132" t="n">
        <x:v>0</x:v>
      </x:c>
      <x:c r="D264" s="134" t="n">
        <x:v>8391</x:v>
      </x:c>
      <x:c r="E264" s="133" t="n">
        <x:v>1.7</x:v>
      </x:c>
      <x:c r="F264" s="134" t="n">
        <x:v>8063</x:v>
      </x:c>
      <x:c r="G264" s="134" t="n">
        <x:v>0</x:v>
      </x:c>
      <x:c r="H264" s="134" t="n">
        <x:v>0</x:v>
      </x:c>
      <x:c r="I264" s="134" t="n">
        <x:v>0</x:v>
      </x:c>
      <x:c r="J264" s="133" t="n">
        <x:v>0</x:v>
      </x:c>
      <x:c r="K264" s="133" t="n">
        <x:v>0</x:v>
      </x:c>
      <x:c r="L264" s="133" t="n">
        <x:v>0</x:v>
      </x:c>
      <x:c r="M264" s="133" t="n">
        <x:v>0</x:v>
      </x:c>
      <x:c r="N264" s="133" t="n">
        <x:v>0</x:v>
      </x:c>
      <x:c r="O264" s="133" t="n">
        <x:v>0</x:v>
      </x:c>
      <x:c r="P264" s="132"/>
    </x:row>
    <x:row r="265">
      <x:c r="A265" s="136" t="str">
        <x:v>01051030901</x:v>
      </x:c>
      <x:c r="B265" s="132" t="str">
        <x:v>Elmore County</x:v>
      </x:c>
      <x:c r="C265" s="132" t="n">
        <x:v>0</x:v>
      </x:c>
      <x:c r="D265" s="134" t="n">
        <x:v>6862</x:v>
      </x:c>
      <x:c r="E265" s="133" t="n">
        <x:v>6.5</x:v>
      </x:c>
      <x:c r="F265" s="134" t="n">
        <x:v>5711</x:v>
      </x:c>
      <x:c r="G265" s="134" t="n">
        <x:v>0</x:v>
      </x:c>
      <x:c r="H265" s="134" t="n">
        <x:v>0</x:v>
      </x:c>
      <x:c r="I265" s="134" t="n">
        <x:v>0</x:v>
      </x:c>
      <x:c r="J265" s="133" t="n">
        <x:v>0</x:v>
      </x:c>
      <x:c r="K265" s="133" t="n">
        <x:v>0</x:v>
      </x:c>
      <x:c r="L265" s="133" t="n">
        <x:v>0</x:v>
      </x:c>
      <x:c r="M265" s="133" t="n">
        <x:v>0</x:v>
      </x:c>
      <x:c r="N265" s="133" t="n">
        <x:v>0</x:v>
      </x:c>
      <x:c r="O265" s="133" t="n">
        <x:v>0</x:v>
      </x:c>
      <x:c r="P265" s="132"/>
    </x:row>
    <x:row r="266">
      <x:c r="A266" s="136" t="str">
        <x:v>01051030902</x:v>
      </x:c>
      <x:c r="B266" s="132" t="str">
        <x:v>Elmore County</x:v>
      </x:c>
      <x:c r="C266" s="132" t="n">
        <x:v>0</x:v>
      </x:c>
      <x:c r="D266" s="134" t="n">
        <x:v>4120</x:v>
      </x:c>
      <x:c r="E266" s="133" t="n">
        <x:v>18</x:v>
      </x:c>
      <x:c r="F266" s="134" t="n">
        <x:v>2632</x:v>
      </x:c>
      <x:c r="G266" s="134" t="n">
        <x:v>0</x:v>
      </x:c>
      <x:c r="H266" s="134" t="n">
        <x:v>0</x:v>
      </x:c>
      <x:c r="I266" s="134" t="n">
        <x:v>0</x:v>
      </x:c>
      <x:c r="J266" s="133" t="n">
        <x:v>0</x:v>
      </x:c>
      <x:c r="K266" s="133" t="n">
        <x:v>0</x:v>
      </x:c>
      <x:c r="L266" s="133" t="n">
        <x:v>0</x:v>
      </x:c>
      <x:c r="M266" s="133" t="n">
        <x:v>0</x:v>
      </x:c>
      <x:c r="N266" s="133" t="n">
        <x:v>0</x:v>
      </x:c>
      <x:c r="O266" s="133" t="n">
        <x:v>0</x:v>
      </x:c>
      <x:c r="P266" s="132"/>
    </x:row>
    <x:row r="267">
      <x:c r="A267" s="136" t="str">
        <x:v>01053970500</x:v>
      </x:c>
      <x:c r="B267" s="132" t="str">
        <x:v>Escambia County</x:v>
      </x:c>
      <x:c r="C267" s="132" t="n">
        <x:v>0</x:v>
      </x:c>
      <x:c r="D267" s="134" t="n">
        <x:v>4976</x:v>
      </x:c>
      <x:c r="E267" s="133" t="n">
        <x:v>12.8</x:v>
      </x:c>
      <x:c r="F267" s="134" t="n">
        <x:v>3078</x:v>
      </x:c>
      <x:c r="G267" s="134" t="n">
        <x:v>0</x:v>
      </x:c>
      <x:c r="H267" s="134" t="n">
        <x:v>0</x:v>
      </x:c>
      <x:c r="I267" s="134" t="n">
        <x:v>0</x:v>
      </x:c>
      <x:c r="J267" s="133" t="n">
        <x:v>0</x:v>
      </x:c>
      <x:c r="K267" s="133" t="n">
        <x:v>0</x:v>
      </x:c>
      <x:c r="L267" s="133" t="n">
        <x:v>0</x:v>
      </x:c>
      <x:c r="M267" s="133" t="n">
        <x:v>0</x:v>
      </x:c>
      <x:c r="N267" s="133" t="n">
        <x:v>0</x:v>
      </x:c>
      <x:c r="O267" s="133" t="n">
        <x:v>0</x:v>
      </x:c>
      <x:c r="P267" s="132"/>
    </x:row>
    <x:row r="268">
      <x:c r="A268" s="136" t="str">
        <x:v>01053970600</x:v>
      </x:c>
      <x:c r="B268" s="132" t="str">
        <x:v>Escambia County</x:v>
      </x:c>
      <x:c r="C268" s="132" t="n">
        <x:v>0</x:v>
      </x:c>
      <x:c r="D268" s="134" t="n">
        <x:v>3707</x:v>
      </x:c>
      <x:c r="E268" s="133" t="n">
        <x:v>31.9</x:v>
      </x:c>
      <x:c r="F268" s="134" t="n">
        <x:v>980</x:v>
      </x:c>
      <x:c r="G268" s="134" t="n">
        <x:v>0</x:v>
      </x:c>
      <x:c r="H268" s="134" t="n">
        <x:v>0</x:v>
      </x:c>
      <x:c r="I268" s="134" t="n">
        <x:v>0</x:v>
      </x:c>
      <x:c r="J268" s="133" t="n">
        <x:v>0</x:v>
      </x:c>
      <x:c r="K268" s="133" t="n">
        <x:v>0</x:v>
      </x:c>
      <x:c r="L268" s="133" t="n">
        <x:v>0</x:v>
      </x:c>
      <x:c r="M268" s="133" t="n">
        <x:v>0</x:v>
      </x:c>
      <x:c r="N268" s="133" t="n">
        <x:v>0</x:v>
      </x:c>
      <x:c r="O268" s="133" t="n">
        <x:v>0</x:v>
      </x:c>
      <x:c r="P268" s="132"/>
    </x:row>
    <x:row r="269">
      <x:c r="A269" s="136" t="str">
        <x:v>01055000700</x:v>
      </x:c>
      <x:c r="B269" s="132" t="str">
        <x:v>Etowah County</x:v>
      </x:c>
      <x:c r="C269" s="132" t="n">
        <x:v>1</x:v>
      </x:c>
      <x:c r="D269" s="134" t="n">
        <x:v>1134</x:v>
      </x:c>
      <x:c r="E269" s="133" t="n">
        <x:v>59.1</x:v>
      </x:c>
      <x:c r="F269" s="134" t="n">
        <x:v>117</x:v>
      </x:c>
      <x:c r="G269" s="134" t="n">
        <x:v>0</x:v>
      </x:c>
      <x:c r="H269" s="134" t="n">
        <x:v>0</x:v>
      </x:c>
      <x:c r="I269" s="134" t="n">
        <x:v>0</x:v>
      </x:c>
      <x:c r="J269" s="133" t="n">
        <x:v>0</x:v>
      </x:c>
      <x:c r="K269" s="133" t="n">
        <x:v>0</x:v>
      </x:c>
      <x:c r="L269" s="133" t="n">
        <x:v>0</x:v>
      </x:c>
      <x:c r="M269" s="133" t="n">
        <x:v>0</x:v>
      </x:c>
      <x:c r="N269" s="133" t="n">
        <x:v>0</x:v>
      </x:c>
      <x:c r="O269" s="133" t="n">
        <x:v>0</x:v>
      </x:c>
      <x:c r="P269" s="132"/>
    </x:row>
    <x:row r="270">
      <x:c r="A270" s="136" t="str">
        <x:v>01055000800</x:v>
      </x:c>
      <x:c r="B270" s="132" t="str">
        <x:v>Etowah County</x:v>
      </x:c>
      <x:c r="C270" s="132" t="n">
        <x:v>1</x:v>
      </x:c>
      <x:c r="D270" s="134" t="n">
        <x:v>910</x:v>
      </x:c>
      <x:c r="E270" s="133" t="n">
        <x:v>35.6</x:v>
      </x:c>
      <x:c r="F270" s="134" t="n">
        <x:v>393</x:v>
      </x:c>
      <x:c r="G270" s="134" t="n">
        <x:v>0</x:v>
      </x:c>
      <x:c r="H270" s="134" t="n">
        <x:v>0</x:v>
      </x:c>
      <x:c r="I270" s="134" t="n">
        <x:v>0</x:v>
      </x:c>
      <x:c r="J270" s="133" t="n">
        <x:v>0</x:v>
      </x:c>
      <x:c r="K270" s="133" t="n">
        <x:v>0</x:v>
      </x:c>
      <x:c r="L270" s="133" t="n">
        <x:v>0</x:v>
      </x:c>
      <x:c r="M270" s="133" t="n">
        <x:v>0</x:v>
      </x:c>
      <x:c r="N270" s="133" t="n">
        <x:v>0</x:v>
      </x:c>
      <x:c r="O270" s="133" t="n">
        <x:v>0</x:v>
      </x:c>
      <x:c r="P270" s="132"/>
    </x:row>
    <x:row r="271">
      <x:c r="A271" s="136" t="str">
        <x:v>01055001100</x:v>
      </x:c>
      <x:c r="B271" s="132" t="str">
        <x:v>Etowah County</x:v>
      </x:c>
      <x:c r="C271" s="132" t="n">
        <x:v>0</x:v>
      </x:c>
      <x:c r="D271" s="134" t="n">
        <x:v>5108</x:v>
      </x:c>
      <x:c r="E271" s="133" t="n">
        <x:v>8.2</x:v>
      </x:c>
      <x:c r="F271" s="134" t="n">
        <x:v>3570</x:v>
      </x:c>
      <x:c r="G271" s="134" t="n">
        <x:v>0</x:v>
      </x:c>
      <x:c r="H271" s="134" t="n">
        <x:v>0</x:v>
      </x:c>
      <x:c r="I271" s="134" t="n">
        <x:v>0</x:v>
      </x:c>
      <x:c r="J271" s="133" t="n">
        <x:v>0</x:v>
      </x:c>
      <x:c r="K271" s="133" t="n">
        <x:v>0</x:v>
      </x:c>
      <x:c r="L271" s="133" t="n">
        <x:v>0</x:v>
      </x:c>
      <x:c r="M271" s="133" t="n">
        <x:v>0</x:v>
      </x:c>
      <x:c r="N271" s="133" t="n">
        <x:v>0</x:v>
      </x:c>
      <x:c r="O271" s="133" t="n">
        <x:v>0</x:v>
      </x:c>
      <x:c r="P271" s="132"/>
    </x:row>
    <x:row r="272">
      <x:c r="A272" s="136" t="str">
        <x:v>01055010100</x:v>
      </x:c>
      <x:c r="B272" s="132" t="str">
        <x:v>Etowah County</x:v>
      </x:c>
      <x:c r="C272" s="132" t="n">
        <x:v>0</x:v>
      </x:c>
      <x:c r="D272" s="134" t="n">
        <x:v>2033</x:v>
      </x:c>
      <x:c r="E272" s="133" t="n">
        <x:v>9.1</x:v>
      </x:c>
      <x:c r="F272" s="134" t="n">
        <x:v>1432</x:v>
      </x:c>
      <x:c r="G272" s="134" t="n">
        <x:v>0</x:v>
      </x:c>
      <x:c r="H272" s="134" t="n">
        <x:v>0</x:v>
      </x:c>
      <x:c r="I272" s="134" t="n">
        <x:v>0</x:v>
      </x:c>
      <x:c r="J272" s="133" t="n">
        <x:v>0</x:v>
      </x:c>
      <x:c r="K272" s="133" t="n">
        <x:v>0</x:v>
      </x:c>
      <x:c r="L272" s="133" t="n">
        <x:v>0</x:v>
      </x:c>
      <x:c r="M272" s="133" t="n">
        <x:v>0</x:v>
      </x:c>
      <x:c r="N272" s="133" t="n">
        <x:v>0</x:v>
      </x:c>
      <x:c r="O272" s="133" t="n">
        <x:v>0</x:v>
      </x:c>
      <x:c r="P272" s="132"/>
    </x:row>
    <x:row r="273">
      <x:c r="A273" s="136" t="str">
        <x:v>01055010300</x:v>
      </x:c>
      <x:c r="B273" s="132" t="str">
        <x:v>Etowah County</x:v>
      </x:c>
      <x:c r="C273" s="132" t="n">
        <x:v>0</x:v>
      </x:c>
      <x:c r="D273" s="134" t="n">
        <x:v>2849</x:v>
      </x:c>
      <x:c r="E273" s="133" t="n">
        <x:v>9.6</x:v>
      </x:c>
      <x:c r="F273" s="134" t="n">
        <x:v>1571</x:v>
      </x:c>
      <x:c r="G273" s="134" t="n">
        <x:v>0</x:v>
      </x:c>
      <x:c r="H273" s="134" t="n">
        <x:v>0</x:v>
      </x:c>
      <x:c r="I273" s="134" t="n">
        <x:v>0</x:v>
      </x:c>
      <x:c r="J273" s="133" t="n">
        <x:v>0</x:v>
      </x:c>
      <x:c r="K273" s="133" t="n">
        <x:v>0</x:v>
      </x:c>
      <x:c r="L273" s="133" t="n">
        <x:v>0</x:v>
      </x:c>
      <x:c r="M273" s="133" t="n">
        <x:v>0</x:v>
      </x:c>
      <x:c r="N273" s="133" t="n">
        <x:v>0</x:v>
      </x:c>
      <x:c r="O273" s="133" t="n">
        <x:v>0</x:v>
      </x:c>
      <x:c r="P273" s="132"/>
    </x:row>
    <x:row r="274">
      <x:c r="A274" s="136" t="str">
        <x:v>01055010503</x:v>
      </x:c>
      <x:c r="B274" s="132" t="str">
        <x:v>Etowah County</x:v>
      </x:c>
      <x:c r="C274" s="132" t="n">
        <x:v>0</x:v>
      </x:c>
      <x:c r="D274" s="134" t="n">
        <x:v>4360</x:v>
      </x:c>
      <x:c r="E274" s="133" t="n">
        <x:v>3.1</x:v>
      </x:c>
      <x:c r="F274" s="134" t="n">
        <x:v>2833</x:v>
      </x:c>
      <x:c r="G274" s="134" t="n">
        <x:v>0</x:v>
      </x:c>
      <x:c r="H274" s="134" t="n">
        <x:v>0</x:v>
      </x:c>
      <x:c r="I274" s="134" t="n">
        <x:v>0</x:v>
      </x:c>
      <x:c r="J274" s="133" t="n">
        <x:v>0</x:v>
      </x:c>
      <x:c r="K274" s="133" t="n">
        <x:v>0</x:v>
      </x:c>
      <x:c r="L274" s="133" t="n">
        <x:v>0</x:v>
      </x:c>
      <x:c r="M274" s="133" t="n">
        <x:v>0</x:v>
      </x:c>
      <x:c r="N274" s="133"/>
      <x:c r="O274" s="133" t="n">
        <x:v>0</x:v>
      </x:c>
      <x:c r="P274" s="132"/>
    </x:row>
    <x:row r="275">
      <x:c r="A275" s="136" t="str">
        <x:v>01055010504</x:v>
      </x:c>
      <x:c r="B275" s="132" t="str">
        <x:v>Etowah County</x:v>
      </x:c>
      <x:c r="C275" s="132" t="n">
        <x:v>0</x:v>
      </x:c>
      <x:c r="D275" s="134" t="n">
        <x:v>4746</x:v>
      </x:c>
      <x:c r="E275" s="133" t="n">
        <x:v>4.9</x:v>
      </x:c>
      <x:c r="F275" s="134" t="n">
        <x:v>4110</x:v>
      </x:c>
      <x:c r="G275" s="134" t="n">
        <x:v>0</x:v>
      </x:c>
      <x:c r="H275" s="134" t="n">
        <x:v>0</x:v>
      </x:c>
      <x:c r="I275" s="134" t="n">
        <x:v>0</x:v>
      </x:c>
      <x:c r="J275" s="133" t="n">
        <x:v>0</x:v>
      </x:c>
      <x:c r="K275" s="133" t="n">
        <x:v>0</x:v>
      </x:c>
      <x:c r="L275" s="133" t="n">
        <x:v>0</x:v>
      </x:c>
      <x:c r="M275" s="133" t="n">
        <x:v>0</x:v>
      </x:c>
      <x:c r="N275" s="133" t="n">
        <x:v>0</x:v>
      </x:c>
      <x:c r="O275" s="133" t="n">
        <x:v>0</x:v>
      </x:c>
      <x:c r="P275" s="132"/>
    </x:row>
    <x:row r="276">
      <x:c r="A276" s="136" t="str">
        <x:v>01055010506</x:v>
      </x:c>
      <x:c r="B276" s="132" t="str">
        <x:v>Etowah County</x:v>
      </x:c>
      <x:c r="C276" s="132" t="n">
        <x:v>0</x:v>
      </x:c>
      <x:c r="D276" s="134" t="n">
        <x:v>2344</x:v>
      </x:c>
      <x:c r="E276" s="133" t="n">
        <x:v>8</x:v>
      </x:c>
      <x:c r="F276" s="134" t="n">
        <x:v>1662</x:v>
      </x:c>
      <x:c r="G276" s="134" t="n">
        <x:v>0</x:v>
      </x:c>
      <x:c r="H276" s="134" t="n">
        <x:v>0</x:v>
      </x:c>
      <x:c r="I276" s="134" t="n">
        <x:v>0</x:v>
      </x:c>
      <x:c r="J276" s="133" t="n">
        <x:v>0</x:v>
      </x:c>
      <x:c r="K276" s="133" t="n">
        <x:v>0</x:v>
      </x:c>
      <x:c r="L276" s="133" t="n">
        <x:v>0</x:v>
      </x:c>
      <x:c r="M276" s="133" t="n">
        <x:v>0</x:v>
      </x:c>
      <x:c r="N276" s="133" t="n">
        <x:v>0</x:v>
      </x:c>
      <x:c r="O276" s="133" t="n">
        <x:v>0</x:v>
      </x:c>
      <x:c r="P276" s="132"/>
    </x:row>
    <x:row r="277">
      <x:c r="A277" s="136" t="str">
        <x:v>01055010601</x:v>
      </x:c>
      <x:c r="B277" s="132" t="str">
        <x:v>Etowah County</x:v>
      </x:c>
      <x:c r="C277" s="132" t="n">
        <x:v>0</x:v>
      </x:c>
      <x:c r="D277" s="134" t="n">
        <x:v>5600</x:v>
      </x:c>
      <x:c r="E277" s="133" t="n">
        <x:v>3.7</x:v>
      </x:c>
      <x:c r="F277" s="134" t="n">
        <x:v>5313</x:v>
      </x:c>
      <x:c r="G277" s="134" t="n">
        <x:v>0</x:v>
      </x:c>
      <x:c r="H277" s="134" t="n">
        <x:v>0</x:v>
      </x:c>
      <x:c r="I277" s="134" t="n">
        <x:v>0</x:v>
      </x:c>
      <x:c r="J277" s="133" t="n">
        <x:v>0</x:v>
      </x:c>
      <x:c r="K277" s="133" t="n">
        <x:v>0</x:v>
      </x:c>
      <x:c r="L277" s="133" t="n">
        <x:v>0</x:v>
      </x:c>
      <x:c r="M277" s="133" t="n">
        <x:v>0</x:v>
      </x:c>
      <x:c r="N277" s="133" t="n">
        <x:v>0</x:v>
      </x:c>
      <x:c r="O277" s="133" t="n">
        <x:v>0</x:v>
      </x:c>
      <x:c r="P277" s="132"/>
    </x:row>
    <x:row r="278">
      <x:c r="A278" s="136" t="str">
        <x:v>01055010700</x:v>
      </x:c>
      <x:c r="B278" s="132" t="str">
        <x:v>Etowah County</x:v>
      </x:c>
      <x:c r="C278" s="132" t="n">
        <x:v>0</x:v>
      </x:c>
      <x:c r="D278" s="134" t="n">
        <x:v>3589</x:v>
      </x:c>
      <x:c r="E278" s="133" t="n">
        <x:v>17.4</x:v>
      </x:c>
      <x:c r="F278" s="134" t="n">
        <x:v>2819</x:v>
      </x:c>
      <x:c r="G278" s="134" t="n">
        <x:v>0</x:v>
      </x:c>
      <x:c r="H278" s="134" t="n">
        <x:v>0</x:v>
      </x:c>
      <x:c r="I278" s="134" t="n">
        <x:v>0</x:v>
      </x:c>
      <x:c r="J278" s="133" t="n">
        <x:v>0</x:v>
      </x:c>
      <x:c r="K278" s="133" t="n">
        <x:v>0</x:v>
      </x:c>
      <x:c r="L278" s="133" t="n">
        <x:v>0</x:v>
      </x:c>
      <x:c r="M278" s="133" t="n">
        <x:v>0</x:v>
      </x:c>
      <x:c r="N278" s="133" t="n">
        <x:v>0</x:v>
      </x:c>
      <x:c r="O278" s="133" t="n">
        <x:v>0</x:v>
      </x:c>
      <x:c r="P278" s="132"/>
    </x:row>
    <x:row r="279">
      <x:c r="A279" s="136" t="str">
        <x:v>01055011001</x:v>
      </x:c>
      <x:c r="B279" s="132" t="str">
        <x:v>Etowah County</x:v>
      </x:c>
      <x:c r="C279" s="132" t="n">
        <x:v>0</x:v>
      </x:c>
      <x:c r="D279" s="134" t="n">
        <x:v>4660</x:v>
      </x:c>
      <x:c r="E279" s="133" t="n">
        <x:v>9.8</x:v>
      </x:c>
      <x:c r="F279" s="134" t="n">
        <x:v>3054</x:v>
      </x:c>
      <x:c r="G279" s="134" t="n">
        <x:v>0</x:v>
      </x:c>
      <x:c r="H279" s="134" t="n">
        <x:v>0</x:v>
      </x:c>
      <x:c r="I279" s="134" t="n">
        <x:v>0</x:v>
      </x:c>
      <x:c r="J279" s="133" t="n">
        <x:v>0</x:v>
      </x:c>
      <x:c r="K279" s="133" t="n">
        <x:v>0</x:v>
      </x:c>
      <x:c r="L279" s="133" t="n">
        <x:v>0</x:v>
      </x:c>
      <x:c r="M279" s="133" t="n">
        <x:v>0</x:v>
      </x:c>
      <x:c r="N279" s="133" t="n">
        <x:v>0</x:v>
      </x:c>
      <x:c r="O279" s="133" t="n">
        <x:v>0</x:v>
      </x:c>
      <x:c r="P279" s="132"/>
    </x:row>
    <x:row r="280">
      <x:c r="A280" s="136" t="str">
        <x:v>01055011002</x:v>
      </x:c>
      <x:c r="B280" s="132" t="str">
        <x:v>Etowah County</x:v>
      </x:c>
      <x:c r="C280" s="132" t="n">
        <x:v>0</x:v>
      </x:c>
      <x:c r="D280" s="134" t="n">
        <x:v>4797</x:v>
      </x:c>
      <x:c r="E280" s="133" t="n">
        <x:v>18.8</x:v>
      </x:c>
      <x:c r="F280" s="134" t="n">
        <x:v>3225</x:v>
      </x:c>
      <x:c r="G280" s="134" t="n">
        <x:v>0</x:v>
      </x:c>
      <x:c r="H280" s="134" t="n">
        <x:v>0</x:v>
      </x:c>
      <x:c r="I280" s="134" t="n">
        <x:v>0</x:v>
      </x:c>
      <x:c r="J280" s="133" t="n">
        <x:v>0</x:v>
      </x:c>
      <x:c r="K280" s="133" t="n">
        <x:v>0</x:v>
      </x:c>
      <x:c r="L280" s="133" t="n">
        <x:v>0</x:v>
      </x:c>
      <x:c r="M280" s="133" t="n">
        <x:v>0</x:v>
      </x:c>
      <x:c r="N280" s="133" t="n">
        <x:v>0</x:v>
      </x:c>
      <x:c r="O280" s="133" t="n">
        <x:v>0</x:v>
      </x:c>
      <x:c r="P280" s="132"/>
    </x:row>
    <x:row r="281">
      <x:c r="A281" s="136" t="str">
        <x:v>01057020200</x:v>
      </x:c>
      <x:c r="B281" s="132" t="str">
        <x:v>Fayette County</x:v>
      </x:c>
      <x:c r="C281" s="132" t="n">
        <x:v>0</x:v>
      </x:c>
      <x:c r="D281" s="134" t="n">
        <x:v>4117</x:v>
      </x:c>
      <x:c r="E281" s="133" t="n">
        <x:v>31.4</x:v>
      </x:c>
      <x:c r="F281" s="134" t="n">
        <x:v>2129</x:v>
      </x:c>
      <x:c r="G281" s="134" t="n">
        <x:v>0</x:v>
      </x:c>
      <x:c r="H281" s="134" t="n">
        <x:v>0</x:v>
      </x:c>
      <x:c r="I281" s="134" t="n">
        <x:v>0</x:v>
      </x:c>
      <x:c r="J281" s="133" t="n">
        <x:v>0</x:v>
      </x:c>
      <x:c r="K281" s="133" t="n">
        <x:v>0</x:v>
      </x:c>
      <x:c r="L281" s="133" t="n">
        <x:v>0</x:v>
      </x:c>
      <x:c r="M281" s="133" t="n">
        <x:v>0</x:v>
      </x:c>
      <x:c r="N281" s="133" t="n">
        <x:v>0</x:v>
      </x:c>
      <x:c r="O281" s="133" t="n">
        <x:v>0</x:v>
      </x:c>
      <x:c r="P281" s="132"/>
    </x:row>
    <x:row r="282">
      <x:c r="A282" s="136" t="str">
        <x:v>01059972900</x:v>
      </x:c>
      <x:c r="B282" s="132" t="str">
        <x:v>Franklin County</x:v>
      </x:c>
      <x:c r="C282" s="132" t="n">
        <x:v>0</x:v>
      </x:c>
      <x:c r="D282" s="134" t="n">
        <x:v>3971</x:v>
      </x:c>
      <x:c r="E282" s="133" t="n">
        <x:v>21.5</x:v>
      </x:c>
      <x:c r="F282" s="134" t="n">
        <x:v>2123</x:v>
      </x:c>
      <x:c r="G282" s="134" t="n">
        <x:v>0</x:v>
      </x:c>
      <x:c r="H282" s="134" t="n">
        <x:v>0</x:v>
      </x:c>
      <x:c r="I282" s="134" t="n">
        <x:v>0</x:v>
      </x:c>
      <x:c r="J282" s="133" t="n">
        <x:v>0</x:v>
      </x:c>
      <x:c r="K282" s="133" t="n">
        <x:v>0</x:v>
      </x:c>
      <x:c r="L282" s="133" t="n">
        <x:v>0</x:v>
      </x:c>
      <x:c r="M282" s="133" t="n">
        <x:v>0</x:v>
      </x:c>
      <x:c r="N282" s="133" t="n">
        <x:v>0</x:v>
      </x:c>
      <x:c r="O282" s="133" t="n">
        <x:v>0</x:v>
      </x:c>
      <x:c r="P282" s="132"/>
    </x:row>
    <x:row r="283">
      <x:c r="A283" s="136" t="str">
        <x:v>01059973702</x:v>
      </x:c>
      <x:c r="B283" s="132" t="str">
        <x:v>Franklin County</x:v>
      </x:c>
      <x:c r="C283" s="132" t="n">
        <x:v>0</x:v>
      </x:c>
      <x:c r="D283" s="134" t="n">
        <x:v>957</x:v>
      </x:c>
      <x:c r="E283" s="133" t="n">
        <x:v>17.8</x:v>
      </x:c>
      <x:c r="F283" s="134" t="n">
        <x:v>601</x:v>
      </x:c>
      <x:c r="G283" s="134" t="n">
        <x:v>0</x:v>
      </x:c>
      <x:c r="H283" s="134" t="n">
        <x:v>0</x:v>
      </x:c>
      <x:c r="I283" s="134" t="n">
        <x:v>0</x:v>
      </x:c>
      <x:c r="J283" s="133" t="n">
        <x:v>0</x:v>
      </x:c>
      <x:c r="K283" s="133" t="n">
        <x:v>0</x:v>
      </x:c>
      <x:c r="L283" s="133" t="n">
        <x:v>0</x:v>
      </x:c>
      <x:c r="M283" s="133" t="n">
        <x:v>0</x:v>
      </x:c>
      <x:c r="N283" s="133" t="n">
        <x:v>0</x:v>
      </x:c>
      <x:c r="O283" s="133" t="n">
        <x:v>0</x:v>
      </x:c>
      <x:c r="P283" s="132"/>
    </x:row>
    <x:row r="284">
      <x:c r="A284" s="136" t="str">
        <x:v>01061050300</x:v>
      </x:c>
      <x:c r="B284" s="132" t="str">
        <x:v>Geneva County</x:v>
      </x:c>
      <x:c r="C284" s="132" t="n">
        <x:v>0</x:v>
      </x:c>
      <x:c r="D284" s="134" t="n">
        <x:v>5173</x:v>
      </x:c>
      <x:c r="E284" s="133" t="n">
        <x:v>23.4</x:v>
      </x:c>
      <x:c r="F284" s="134" t="n">
        <x:v>2627</x:v>
      </x:c>
      <x:c r="G284" s="134" t="n">
        <x:v>0</x:v>
      </x:c>
      <x:c r="H284" s="134" t="n">
        <x:v>0</x:v>
      </x:c>
      <x:c r="I284" s="134" t="n">
        <x:v>0</x:v>
      </x:c>
      <x:c r="J284" s="133" t="n">
        <x:v>0</x:v>
      </x:c>
      <x:c r="K284" s="133" t="n">
        <x:v>0</x:v>
      </x:c>
      <x:c r="L284" s="133" t="n">
        <x:v>0</x:v>
      </x:c>
      <x:c r="M284" s="133" t="n">
        <x:v>0</x:v>
      </x:c>
      <x:c r="N284" s="133" t="n">
        <x:v>0</x:v>
      </x:c>
      <x:c r="O284" s="133" t="n">
        <x:v>0</x:v>
      </x:c>
      <x:c r="P284" s="132"/>
    </x:row>
    <x:row r="285">
      <x:c r="A285" s="136" t="str">
        <x:v>01061050500</x:v>
      </x:c>
      <x:c r="B285" s="132" t="str">
        <x:v>Geneva County</x:v>
      </x:c>
      <x:c r="C285" s="132" t="n">
        <x:v>0</x:v>
      </x:c>
      <x:c r="D285" s="134" t="n">
        <x:v>4499</x:v>
      </x:c>
      <x:c r="E285" s="133" t="n">
        <x:v>24.1</x:v>
      </x:c>
      <x:c r="F285" s="134" t="n">
        <x:v>2372</x:v>
      </x:c>
      <x:c r="G285" s="134" t="n">
        <x:v>0</x:v>
      </x:c>
      <x:c r="H285" s="134" t="n">
        <x:v>0</x:v>
      </x:c>
      <x:c r="I285" s="134" t="n">
        <x:v>0</x:v>
      </x:c>
      <x:c r="J285" s="133" t="n">
        <x:v>0</x:v>
      </x:c>
      <x:c r="K285" s="133" t="n">
        <x:v>0</x:v>
      </x:c>
      <x:c r="L285" s="133" t="n">
        <x:v>0</x:v>
      </x:c>
      <x:c r="M285" s="133" t="n">
        <x:v>0</x:v>
      </x:c>
      <x:c r="N285" s="133" t="n">
        <x:v>0</x:v>
      </x:c>
      <x:c r="O285" s="133" t="n">
        <x:v>0</x:v>
      </x:c>
      <x:c r="P285" s="132"/>
    </x:row>
    <x:row r="286">
      <x:c r="A286" s="136" t="str">
        <x:v>01061050600</x:v>
      </x:c>
      <x:c r="B286" s="132" t="str">
        <x:v>Geneva County</x:v>
      </x:c>
      <x:c r="C286" s="132" t="n">
        <x:v>0</x:v>
      </x:c>
      <x:c r="D286" s="134" t="n">
        <x:v>4002</x:v>
      </x:c>
      <x:c r="E286" s="133" t="n">
        <x:v>18.8</x:v>
      </x:c>
      <x:c r="F286" s="134" t="n">
        <x:v>2853</x:v>
      </x:c>
      <x:c r="G286" s="134" t="n">
        <x:v>0</x:v>
      </x:c>
      <x:c r="H286" s="134" t="n">
        <x:v>0</x:v>
      </x:c>
      <x:c r="I286" s="134" t="n">
        <x:v>0</x:v>
      </x:c>
      <x:c r="J286" s="133" t="n">
        <x:v>0</x:v>
      </x:c>
      <x:c r="K286" s="133" t="n">
        <x:v>0</x:v>
      </x:c>
      <x:c r="L286" s="133" t="n">
        <x:v>0</x:v>
      </x:c>
      <x:c r="M286" s="133" t="n">
        <x:v>0</x:v>
      </x:c>
      <x:c r="N286" s="133" t="n">
        <x:v>0</x:v>
      </x:c>
      <x:c r="O286" s="133" t="n">
        <x:v>0</x:v>
      </x:c>
      <x:c r="P286" s="132"/>
    </x:row>
    <x:row r="287">
      <x:c r="A287" s="136" t="str">
        <x:v>01065040402</x:v>
      </x:c>
      <x:c r="B287" s="132" t="str">
        <x:v>Hale County</x:v>
      </x:c>
      <x:c r="C287" s="132" t="n">
        <x:v>0</x:v>
      </x:c>
      <x:c r="D287" s="134" t="n">
        <x:v>1559</x:v>
      </x:c>
      <x:c r="E287" s="133" t="n">
        <x:v>56.1</x:v>
      </x:c>
      <x:c r="F287" s="134" t="n">
        <x:v>472</x:v>
      </x:c>
      <x:c r="G287" s="134" t="n">
        <x:v>0</x:v>
      </x:c>
      <x:c r="H287" s="134" t="n">
        <x:v>0</x:v>
      </x:c>
      <x:c r="I287" s="134" t="n">
        <x:v>0</x:v>
      </x:c>
      <x:c r="J287" s="133" t="n">
        <x:v>0</x:v>
      </x:c>
      <x:c r="K287" s="133" t="n">
        <x:v>0</x:v>
      </x:c>
      <x:c r="L287" s="133" t="n">
        <x:v>0</x:v>
      </x:c>
      <x:c r="M287" s="133" t="n">
        <x:v>0</x:v>
      </x:c>
      <x:c r="N287" s="133" t="n">
        <x:v>0</x:v>
      </x:c>
      <x:c r="O287" s="133" t="n">
        <x:v>0</x:v>
      </x:c>
      <x:c r="P287" s="132"/>
    </x:row>
    <x:row r="288">
      <x:c r="A288" s="136" t="str">
        <x:v>01067030200</x:v>
      </x:c>
      <x:c r="B288" s="132" t="str">
        <x:v>Henry County</x:v>
      </x:c>
      <x:c r="C288" s="132" t="n">
        <x:v>0</x:v>
      </x:c>
      <x:c r="D288" s="134" t="n">
        <x:v>2532</x:v>
      </x:c>
      <x:c r="E288" s="133" t="n">
        <x:v>24</x:v>
      </x:c>
      <x:c r="F288" s="134" t="n">
        <x:v>1279</x:v>
      </x:c>
      <x:c r="G288" s="134" t="n">
        <x:v>0</x:v>
      </x:c>
      <x:c r="H288" s="134" t="n">
        <x:v>0</x:v>
      </x:c>
      <x:c r="I288" s="134" t="n">
        <x:v>0</x:v>
      </x:c>
      <x:c r="J288" s="133" t="n">
        <x:v>0</x:v>
      </x:c>
      <x:c r="K288" s="133" t="n">
        <x:v>0</x:v>
      </x:c>
      <x:c r="L288" s="133" t="n">
        <x:v>0</x:v>
      </x:c>
      <x:c r="M288" s="133" t="n">
        <x:v>0</x:v>
      </x:c>
      <x:c r="N288" s="133" t="n">
        <x:v>0</x:v>
      </x:c>
      <x:c r="O288" s="133" t="n">
        <x:v>0</x:v>
      </x:c>
      <x:c r="P288" s="132"/>
    </x:row>
    <x:row r="289">
      <x:c r="A289" s="136" t="str">
        <x:v>01067030500</x:v>
      </x:c>
      <x:c r="B289" s="132" t="str">
        <x:v>Henry County</x:v>
      </x:c>
      <x:c r="C289" s="132" t="n">
        <x:v>0</x:v>
      </x:c>
      <x:c r="D289" s="134" t="n">
        <x:v>6630</x:v>
      </x:c>
      <x:c r="E289" s="133" t="n">
        <x:v>7.5</x:v>
      </x:c>
      <x:c r="F289" s="134" t="n">
        <x:v>4847</x:v>
      </x:c>
      <x:c r="G289" s="134" t="n">
        <x:v>0</x:v>
      </x:c>
      <x:c r="H289" s="134" t="n">
        <x:v>0</x:v>
      </x:c>
      <x:c r="I289" s="134" t="n">
        <x:v>0</x:v>
      </x:c>
      <x:c r="J289" s="133" t="n">
        <x:v>0</x:v>
      </x:c>
      <x:c r="K289" s="133" t="n">
        <x:v>0</x:v>
      </x:c>
      <x:c r="L289" s="133" t="n">
        <x:v>0</x:v>
      </x:c>
      <x:c r="M289" s="133" t="n">
        <x:v>0</x:v>
      </x:c>
      <x:c r="N289" s="133" t="n">
        <x:v>0</x:v>
      </x:c>
      <x:c r="O289" s="133" t="n">
        <x:v>0</x:v>
      </x:c>
      <x:c r="P289" s="132"/>
    </x:row>
    <x:row r="290">
      <x:c r="A290" s="136" t="str">
        <x:v>01069040100</x:v>
      </x:c>
      <x:c r="B290" s="132" t="str">
        <x:v>Houston County</x:v>
      </x:c>
      <x:c r="C290" s="132" t="n">
        <x:v>0</x:v>
      </x:c>
      <x:c r="D290" s="134" t="n">
        <x:v>5916</x:v>
      </x:c>
      <x:c r="E290" s="133" t="n">
        <x:v>5.5</x:v>
      </x:c>
      <x:c r="F290" s="134" t="n">
        <x:v>4424</x:v>
      </x:c>
      <x:c r="G290" s="134" t="n">
        <x:v>0</x:v>
      </x:c>
      <x:c r="H290" s="134" t="n">
        <x:v>0</x:v>
      </x:c>
      <x:c r="I290" s="134" t="n">
        <x:v>0</x:v>
      </x:c>
      <x:c r="J290" s="133" t="n">
        <x:v>0</x:v>
      </x:c>
      <x:c r="K290" s="133" t="n">
        <x:v>0</x:v>
      </x:c>
      <x:c r="L290" s="133" t="n">
        <x:v>0</x:v>
      </x:c>
      <x:c r="M290" s="133" t="n">
        <x:v>0</x:v>
      </x:c>
      <x:c r="N290" s="133" t="n">
        <x:v>0</x:v>
      </x:c>
      <x:c r="O290" s="133" t="n">
        <x:v>0</x:v>
      </x:c>
      <x:c r="P290" s="132"/>
    </x:row>
    <x:row r="291">
      <x:c r="A291" s="136" t="str">
        <x:v>01069040203</x:v>
      </x:c>
      <x:c r="B291" s="132" t="str">
        <x:v>Houston County</x:v>
      </x:c>
      <x:c r="C291" s="132" t="n">
        <x:v>0</x:v>
      </x:c>
      <x:c r="D291" s="134" t="n">
        <x:v>3289</x:v>
      </x:c>
      <x:c r="E291" s="133" t="n">
        <x:v>4.3</x:v>
      </x:c>
      <x:c r="F291" s="134" t="n">
        <x:v>2533</x:v>
      </x:c>
      <x:c r="G291" s="134" t="n">
        <x:v>0</x:v>
      </x:c>
      <x:c r="H291" s="134" t="n">
        <x:v>0</x:v>
      </x:c>
      <x:c r="I291" s="134" t="n">
        <x:v>0</x:v>
      </x:c>
      <x:c r="J291" s="133" t="n">
        <x:v>0</x:v>
      </x:c>
      <x:c r="K291" s="133" t="n">
        <x:v>0</x:v>
      </x:c>
      <x:c r="L291" s="133" t="n">
        <x:v>0</x:v>
      </x:c>
      <x:c r="M291" s="133" t="n">
        <x:v>0</x:v>
      </x:c>
      <x:c r="N291" s="133" t="n">
        <x:v>0</x:v>
      </x:c>
      <x:c r="O291" s="133" t="n">
        <x:v>0</x:v>
      </x:c>
      <x:c r="P291" s="132"/>
    </x:row>
    <x:row r="292">
      <x:c r="A292" s="136" t="str">
        <x:v>01069040400</x:v>
      </x:c>
      <x:c r="B292" s="132" t="str">
        <x:v>Houston County</x:v>
      </x:c>
      <x:c r="C292" s="132" t="n">
        <x:v>1</x:v>
      </x:c>
      <x:c r="D292" s="134" t="n">
        <x:v>2562</x:v>
      </x:c>
      <x:c r="E292" s="133" t="n">
        <x:v>13.6</x:v>
      </x:c>
      <x:c r="F292" s="134" t="n">
        <x:v>1842</x:v>
      </x:c>
      <x:c r="G292" s="134" t="n">
        <x:v>0</x:v>
      </x:c>
      <x:c r="H292" s="134" t="n">
        <x:v>0</x:v>
      </x:c>
      <x:c r="I292" s="134" t="n">
        <x:v>0</x:v>
      </x:c>
      <x:c r="J292" s="133" t="n">
        <x:v>0</x:v>
      </x:c>
      <x:c r="K292" s="133" t="n">
        <x:v>0</x:v>
      </x:c>
      <x:c r="L292" s="133" t="n">
        <x:v>0</x:v>
      </x:c>
      <x:c r="M292" s="133" t="n">
        <x:v>0</x:v>
      </x:c>
      <x:c r="N292" s="133" t="n">
        <x:v>0</x:v>
      </x:c>
      <x:c r="O292" s="133" t="n">
        <x:v>0</x:v>
      </x:c>
      <x:c r="P292" s="132"/>
    </x:row>
    <x:row r="293">
      <x:c r="A293" s="136" t="str">
        <x:v>01069040600</x:v>
      </x:c>
      <x:c r="B293" s="132" t="str">
        <x:v>Houston County</x:v>
      </x:c>
      <x:c r="C293" s="132" t="n">
        <x:v>1</x:v>
      </x:c>
      <x:c r="D293" s="134" t="n">
        <x:v>1985</x:v>
      </x:c>
      <x:c r="E293" s="133" t="n">
        <x:v>43.8</x:v>
      </x:c>
      <x:c r="F293" s="134" t="n">
        <x:v>442</x:v>
      </x:c>
      <x:c r="G293" s="134" t="n">
        <x:v>0</x:v>
      </x:c>
      <x:c r="H293" s="134" t="n">
        <x:v>0</x:v>
      </x:c>
      <x:c r="I293" s="134" t="n">
        <x:v>0</x:v>
      </x:c>
      <x:c r="J293" s="133" t="n">
        <x:v>0</x:v>
      </x:c>
      <x:c r="K293" s="133" t="n">
        <x:v>0</x:v>
      </x:c>
      <x:c r="L293" s="133" t="n">
        <x:v>0</x:v>
      </x:c>
      <x:c r="M293" s="133" t="n">
        <x:v>0</x:v>
      </x:c>
      <x:c r="N293" s="133" t="n">
        <x:v>0</x:v>
      </x:c>
      <x:c r="O293" s="133" t="n">
        <x:v>0</x:v>
      </x:c>
      <x:c r="P293" s="132"/>
    </x:row>
    <x:row r="294">
      <x:c r="A294" s="136" t="str">
        <x:v>01069040801</x:v>
      </x:c>
      <x:c r="B294" s="132" t="str">
        <x:v>Houston County</x:v>
      </x:c>
      <x:c r="C294" s="132" t="n">
        <x:v>0</x:v>
      </x:c>
      <x:c r="D294" s="134" t="n">
        <x:v>4852</x:v>
      </x:c>
      <x:c r="E294" s="133" t="n">
        <x:v>9.4</x:v>
      </x:c>
      <x:c r="F294" s="134" t="n">
        <x:v>4250</x:v>
      </x:c>
      <x:c r="G294" s="134" t="n">
        <x:v>0</x:v>
      </x:c>
      <x:c r="H294" s="134" t="n">
        <x:v>0</x:v>
      </x:c>
      <x:c r="I294" s="134" t="n">
        <x:v>0</x:v>
      </x:c>
      <x:c r="J294" s="133" t="n">
        <x:v>0</x:v>
      </x:c>
      <x:c r="K294" s="133" t="n">
        <x:v>0</x:v>
      </x:c>
      <x:c r="L294" s="133" t="n">
        <x:v>0</x:v>
      </x:c>
      <x:c r="M294" s="133" t="n">
        <x:v>0</x:v>
      </x:c>
      <x:c r="N294" s="133" t="n">
        <x:v>0</x:v>
      </x:c>
      <x:c r="O294" s="133" t="n">
        <x:v>0</x:v>
      </x:c>
      <x:c r="P294" s="132"/>
    </x:row>
    <x:row r="295">
      <x:c r="A295" s="136" t="str">
        <x:v>01069040802</x:v>
      </x:c>
      <x:c r="B295" s="132" t="str">
        <x:v>Houston County</x:v>
      </x:c>
      <x:c r="C295" s="132" t="n">
        <x:v>0</x:v>
      </x:c>
      <x:c r="D295" s="134" t="n">
        <x:v>4480</x:v>
      </x:c>
      <x:c r="E295" s="133" t="n">
        <x:v>20.2</x:v>
      </x:c>
      <x:c r="F295" s="134" t="n">
        <x:v>2535</x:v>
      </x:c>
      <x:c r="G295" s="134" t="n">
        <x:v>0</x:v>
      </x:c>
      <x:c r="H295" s="134" t="n">
        <x:v>0</x:v>
      </x:c>
      <x:c r="I295" s="134" t="n">
        <x:v>0</x:v>
      </x:c>
      <x:c r="J295" s="133" t="n">
        <x:v>0</x:v>
      </x:c>
      <x:c r="K295" s="133" t="n">
        <x:v>0</x:v>
      </x:c>
      <x:c r="L295" s="133" t="n">
        <x:v>0</x:v>
      </x:c>
      <x:c r="M295" s="133" t="n">
        <x:v>0</x:v>
      </x:c>
      <x:c r="N295" s="133" t="n">
        <x:v>0</x:v>
      </x:c>
      <x:c r="O295" s="133" t="n">
        <x:v>0</x:v>
      </x:c>
      <x:c r="P295" s="132"/>
    </x:row>
    <x:row r="296">
      <x:c r="A296" s="136" t="str">
        <x:v>01069041600</x:v>
      </x:c>
      <x:c r="B296" s="132" t="str">
        <x:v>Houston County</x:v>
      </x:c>
      <x:c r="C296" s="132" t="n">
        <x:v>0</x:v>
      </x:c>
      <x:c r="D296" s="134" t="n">
        <x:v>5438</x:v>
      </x:c>
      <x:c r="E296" s="133" t="n">
        <x:v>11.6</x:v>
      </x:c>
      <x:c r="F296" s="134" t="n">
        <x:v>3017</x:v>
      </x:c>
      <x:c r="G296" s="134" t="n">
        <x:v>0</x:v>
      </x:c>
      <x:c r="H296" s="134" t="n">
        <x:v>0</x:v>
      </x:c>
      <x:c r="I296" s="134" t="n">
        <x:v>0</x:v>
      </x:c>
      <x:c r="J296" s="133" t="n">
        <x:v>0</x:v>
      </x:c>
      <x:c r="K296" s="133" t="n">
        <x:v>0</x:v>
      </x:c>
      <x:c r="L296" s="133" t="n">
        <x:v>0</x:v>
      </x:c>
      <x:c r="M296" s="133" t="n">
        <x:v>0</x:v>
      </x:c>
      <x:c r="N296" s="133" t="n">
        <x:v>0</x:v>
      </x:c>
      <x:c r="O296" s="133" t="n">
        <x:v>0</x:v>
      </x:c>
      <x:c r="P296" s="132"/>
    </x:row>
    <x:row r="297">
      <x:c r="A297" s="136" t="str">
        <x:v>01069041700</x:v>
      </x:c>
      <x:c r="B297" s="132" t="str">
        <x:v>Houston County</x:v>
      </x:c>
      <x:c r="C297" s="132" t="n">
        <x:v>0</x:v>
      </x:c>
      <x:c r="D297" s="134" t="n">
        <x:v>1343</x:v>
      </x:c>
      <x:c r="E297" s="133" t="n">
        <x:v>7</x:v>
      </x:c>
      <x:c r="F297" s="134" t="n">
        <x:v>989</x:v>
      </x:c>
      <x:c r="G297" s="134" t="n">
        <x:v>0</x:v>
      </x:c>
      <x:c r="H297" s="134" t="n">
        <x:v>0</x:v>
      </x:c>
      <x:c r="I297" s="134" t="n">
        <x:v>0</x:v>
      </x:c>
      <x:c r="J297" s="133" t="n">
        <x:v>0</x:v>
      </x:c>
      <x:c r="K297" s="133" t="n">
        <x:v>0</x:v>
      </x:c>
      <x:c r="L297" s="133" t="n">
        <x:v>0</x:v>
      </x:c>
      <x:c r="M297" s="133" t="n">
        <x:v>0</x:v>
      </x:c>
      <x:c r="N297" s="133" t="n">
        <x:v>0</x:v>
      </x:c>
      <x:c r="O297" s="133" t="n">
        <x:v>0</x:v>
      </x:c>
      <x:c r="P297" s="132"/>
    </x:row>
    <x:row r="298">
      <x:c r="A298" s="136" t="str">
        <x:v>01069041901</x:v>
      </x:c>
      <x:c r="B298" s="132" t="str">
        <x:v>Houston County</x:v>
      </x:c>
      <x:c r="C298" s="132" t="n">
        <x:v>0</x:v>
      </x:c>
      <x:c r="D298" s="134" t="n">
        <x:v>2783</x:v>
      </x:c>
      <x:c r="E298" s="133" t="n">
        <x:v>15.8</x:v>
      </x:c>
      <x:c r="F298" s="134" t="n">
        <x:v>1903</x:v>
      </x:c>
      <x:c r="G298" s="134" t="n">
        <x:v>0</x:v>
      </x:c>
      <x:c r="H298" s="134" t="n">
        <x:v>0</x:v>
      </x:c>
      <x:c r="I298" s="134" t="n">
        <x:v>0</x:v>
      </x:c>
      <x:c r="J298" s="133" t="n">
        <x:v>0</x:v>
      </x:c>
      <x:c r="K298" s="133" t="n">
        <x:v>0</x:v>
      </x:c>
      <x:c r="L298" s="133" t="n">
        <x:v>0</x:v>
      </x:c>
      <x:c r="M298" s="133" t="n">
        <x:v>0</x:v>
      </x:c>
      <x:c r="N298" s="133" t="n">
        <x:v>0</x:v>
      </x:c>
      <x:c r="O298" s="133" t="n">
        <x:v>0</x:v>
      </x:c>
      <x:c r="P298" s="132"/>
    </x:row>
    <x:row r="299">
      <x:c r="A299" s="136" t="str">
        <x:v>01069041902</x:v>
      </x:c>
      <x:c r="B299" s="132" t="str">
        <x:v>Houston County</x:v>
      </x:c>
      <x:c r="C299" s="132" t="n">
        <x:v>0</x:v>
      </x:c>
      <x:c r="D299" s="134" t="n">
        <x:v>4635</x:v>
      </x:c>
      <x:c r="E299" s="133" t="n">
        <x:v>14.3</x:v>
      </x:c>
      <x:c r="F299" s="134" t="n">
        <x:v>3147</x:v>
      </x:c>
      <x:c r="G299" s="134" t="n">
        <x:v>0</x:v>
      </x:c>
      <x:c r="H299" s="134" t="n">
        <x:v>0</x:v>
      </x:c>
      <x:c r="I299" s="134" t="n">
        <x:v>0</x:v>
      </x:c>
      <x:c r="J299" s="133" t="n">
        <x:v>0</x:v>
      </x:c>
      <x:c r="K299" s="133" t="n">
        <x:v>0</x:v>
      </x:c>
      <x:c r="L299" s="133" t="n">
        <x:v>0</x:v>
      </x:c>
      <x:c r="M299" s="133" t="n">
        <x:v>0</x:v>
      </x:c>
      <x:c r="N299" s="133" t="n">
        <x:v>0</x:v>
      </x:c>
      <x:c r="O299" s="133" t="n">
        <x:v>0</x:v>
      </x:c>
      <x:c r="P299" s="132"/>
    </x:row>
    <x:row r="300">
      <x:c r="A300" s="136" t="str">
        <x:v>01069042100</x:v>
      </x:c>
      <x:c r="B300" s="132" t="str">
        <x:v>Houston County</x:v>
      </x:c>
      <x:c r="C300" s="132" t="n">
        <x:v>0</x:v>
      </x:c>
      <x:c r="D300" s="134" t="n">
        <x:v>8390</x:v>
      </x:c>
      <x:c r="E300" s="133" t="n">
        <x:v>15.5</x:v>
      </x:c>
      <x:c r="F300" s="134" t="n">
        <x:v>5402</x:v>
      </x:c>
      <x:c r="G300" s="134" t="n">
        <x:v>0</x:v>
      </x:c>
      <x:c r="H300" s="134" t="n">
        <x:v>0</x:v>
      </x:c>
      <x:c r="I300" s="134" t="n">
        <x:v>0</x:v>
      </x:c>
      <x:c r="J300" s="133" t="n">
        <x:v>0</x:v>
      </x:c>
      <x:c r="K300" s="133" t="n">
        <x:v>0</x:v>
      </x:c>
      <x:c r="L300" s="133" t="n">
        <x:v>0</x:v>
      </x:c>
      <x:c r="M300" s="133" t="n">
        <x:v>0</x:v>
      </x:c>
      <x:c r="N300" s="133" t="n">
        <x:v>0</x:v>
      </x:c>
      <x:c r="O300" s="133" t="n">
        <x:v>0</x:v>
      </x:c>
      <x:c r="P300" s="132"/>
    </x:row>
    <x:row r="301">
      <x:c r="A301" s="136" t="str">
        <x:v>01071950602</x:v>
      </x:c>
      <x:c r="B301" s="132" t="str">
        <x:v>Jackson County</x:v>
      </x:c>
      <x:c r="C301" s="132" t="n">
        <x:v>0</x:v>
      </x:c>
      <x:c r="D301" s="134" t="n">
        <x:v>2451</x:v>
      </x:c>
      <x:c r="E301" s="133" t="n">
        <x:v>32.2</x:v>
      </x:c>
      <x:c r="F301" s="134" t="n">
        <x:v>1214</x:v>
      </x:c>
      <x:c r="G301" s="134" t="n">
        <x:v>0</x:v>
      </x:c>
      <x:c r="H301" s="134" t="n">
        <x:v>0</x:v>
      </x:c>
      <x:c r="I301" s="134" t="n">
        <x:v>0</x:v>
      </x:c>
      <x:c r="J301" s="133" t="n">
        <x:v>0</x:v>
      </x:c>
      <x:c r="K301" s="133" t="n">
        <x:v>0</x:v>
      </x:c>
      <x:c r="L301" s="133" t="n">
        <x:v>0</x:v>
      </x:c>
      <x:c r="M301" s="133" t="n">
        <x:v>0</x:v>
      </x:c>
      <x:c r="N301" s="133" t="n">
        <x:v>0</x:v>
      </x:c>
      <x:c r="O301" s="133" t="n">
        <x:v>0</x:v>
      </x:c>
      <x:c r="P301" s="132"/>
    </x:row>
    <x:row r="302">
      <x:c r="A302" s="136" t="str">
        <x:v>01071950902</x:v>
      </x:c>
      <x:c r="B302" s="132" t="str">
        <x:v>Jackson County</x:v>
      </x:c>
      <x:c r="C302" s="132" t="n">
        <x:v>0</x:v>
      </x:c>
      <x:c r="D302" s="134" t="n">
        <x:v>4462</x:v>
      </x:c>
      <x:c r="E302" s="133" t="n">
        <x:v>4.5</x:v>
      </x:c>
      <x:c r="F302" s="134" t="n">
        <x:v>2707</x:v>
      </x:c>
      <x:c r="G302" s="134" t="n">
        <x:v>0</x:v>
      </x:c>
      <x:c r="H302" s="134" t="n">
        <x:v>0</x:v>
      </x:c>
      <x:c r="I302" s="134" t="n">
        <x:v>0</x:v>
      </x:c>
      <x:c r="J302" s="133" t="n">
        <x:v>0</x:v>
      </x:c>
      <x:c r="K302" s="133" t="n">
        <x:v>0</x:v>
      </x:c>
      <x:c r="L302" s="133" t="n">
        <x:v>0</x:v>
      </x:c>
      <x:c r="M302" s="133" t="n">
        <x:v>0</x:v>
      </x:c>
      <x:c r="N302" s="133" t="n">
        <x:v>0</x:v>
      </x:c>
      <x:c r="O302" s="133" t="n">
        <x:v>0</x:v>
      </x:c>
      <x:c r="P302" s="132"/>
    </x:row>
    <x:row r="303">
      <x:c r="A303" s="136" t="str">
        <x:v>01073000300</x:v>
      </x:c>
      <x:c r="B303" s="132" t="str">
        <x:v>Jefferson County</x:v>
      </x:c>
      <x:c r="C303" s="132" t="n">
        <x:v>1</x:v>
      </x:c>
      <x:c r="D303" s="134" t="n">
        <x:v>1757</x:v>
      </x:c>
      <x:c r="E303" s="133" t="n">
        <x:v>20.3</x:v>
      </x:c>
      <x:c r="F303" s="134" t="n">
        <x:v>609</x:v>
      </x:c>
      <x:c r="G303" s="134" t="n">
        <x:v>0</x:v>
      </x:c>
      <x:c r="H303" s="134" t="n">
        <x:v>0</x:v>
      </x:c>
      <x:c r="I303" s="134" t="n">
        <x:v>0</x:v>
      </x:c>
      <x:c r="J303" s="133" t="n">
        <x:v>0</x:v>
      </x:c>
      <x:c r="K303" s="133" t="n">
        <x:v>0</x:v>
      </x:c>
      <x:c r="L303" s="133" t="n">
        <x:v>0</x:v>
      </x:c>
      <x:c r="M303" s="133" t="n">
        <x:v>0</x:v>
      </x:c>
      <x:c r="N303" s="133" t="n">
        <x:v>0</x:v>
      </x:c>
      <x:c r="O303" s="133" t="n">
        <x:v>0</x:v>
      </x:c>
      <x:c r="P303" s="132"/>
    </x:row>
    <x:row r="304">
      <x:c r="A304" s="136" t="str">
        <x:v>01073002200</x:v>
      </x:c>
      <x:c r="B304" s="132" t="str">
        <x:v>Jefferson County</x:v>
      </x:c>
      <x:c r="C304" s="132" t="n">
        <x:v>1</x:v>
      </x:c>
      <x:c r="D304" s="134" t="n">
        <x:v>2391</x:v>
      </x:c>
      <x:c r="E304" s="133" t="n">
        <x:v>26.7</x:v>
      </x:c>
      <x:c r="F304" s="134" t="n">
        <x:v>899</x:v>
      </x:c>
      <x:c r="G304" s="134" t="n">
        <x:v>0</x:v>
      </x:c>
      <x:c r="H304" s="134" t="n">
        <x:v>0</x:v>
      </x:c>
      <x:c r="I304" s="134" t="n">
        <x:v>0</x:v>
      </x:c>
      <x:c r="J304" s="133" t="n">
        <x:v>0</x:v>
      </x:c>
      <x:c r="K304" s="133" t="n">
        <x:v>0</x:v>
      </x:c>
      <x:c r="L304" s="133" t="n">
        <x:v>0</x:v>
      </x:c>
      <x:c r="M304" s="133" t="n">
        <x:v>0</x:v>
      </x:c>
      <x:c r="N304" s="133" t="n">
        <x:v>0</x:v>
      </x:c>
      <x:c r="O304" s="133" t="n">
        <x:v>0</x:v>
      </x:c>
      <x:c r="P304" s="132"/>
    </x:row>
    <x:row r="305">
      <x:c r="A305" s="136" t="str">
        <x:v>01073002402</x:v>
      </x:c>
      <x:c r="B305" s="132" t="str">
        <x:v>Jefferson County</x:v>
      </x:c>
      <x:c r="C305" s="132" t="n">
        <x:v>1</x:v>
      </x:c>
      <x:c r="D305" s="134" t="n">
        <x:v>1246</x:v>
      </x:c>
      <x:c r="E305" s="133" t="n">
        <x:v>65</x:v>
      </x:c>
      <x:c r="F305" s="134" t="n">
        <x:v>253</x:v>
      </x:c>
      <x:c r="G305" s="134" t="n">
        <x:v>0</x:v>
      </x:c>
      <x:c r="H305" s="134" t="n">
        <x:v>0</x:v>
      </x:c>
      <x:c r="I305" s="134" t="n">
        <x:v>0</x:v>
      </x:c>
      <x:c r="J305" s="133" t="n">
        <x:v>0</x:v>
      </x:c>
      <x:c r="K305" s="133" t="n">
        <x:v>0</x:v>
      </x:c>
      <x:c r="L305" s="133" t="n">
        <x:v>0</x:v>
      </x:c>
      <x:c r="M305" s="133" t="n">
        <x:v>0</x:v>
      </x:c>
      <x:c r="N305" s="133" t="n">
        <x:v>0</x:v>
      </x:c>
      <x:c r="O305" s="133" t="n">
        <x:v>0</x:v>
      </x:c>
      <x:c r="P305" s="132"/>
    </x:row>
    <x:row r="306">
      <x:c r="A306" s="136" t="str">
        <x:v>01073002701</x:v>
      </x:c>
      <x:c r="B306" s="132" t="str">
        <x:v>Jefferson County</x:v>
      </x:c>
      <x:c r="C306" s="132" t="n">
        <x:v>1</x:v>
      </x:c>
      <x:c r="D306" s="134" t="n">
        <x:v>1454</x:v>
      </x:c>
      <x:c r="E306" s="133" t="n">
        <x:v>17.2</x:v>
      </x:c>
      <x:c r="F306" s="134" t="n">
        <x:v>1189</x:v>
      </x:c>
      <x:c r="G306" s="134" t="n">
        <x:v>0</x:v>
      </x:c>
      <x:c r="H306" s="134" t="n">
        <x:v>0</x:v>
      </x:c>
      <x:c r="I306" s="134" t="n">
        <x:v>0</x:v>
      </x:c>
      <x:c r="J306" s="133" t="n">
        <x:v>0</x:v>
      </x:c>
      <x:c r="K306" s="133" t="n">
        <x:v>0</x:v>
      </x:c>
      <x:c r="L306" s="133" t="n">
        <x:v>0</x:v>
      </x:c>
      <x:c r="M306" s="133" t="n">
        <x:v>0</x:v>
      </x:c>
      <x:c r="N306" s="133" t="n">
        <x:v>0</x:v>
      </x:c>
      <x:c r="O306" s="133" t="n">
        <x:v>0</x:v>
      </x:c>
      <x:c r="P306" s="132"/>
    </x:row>
    <x:row r="307">
      <x:c r="A307" s="136" t="str">
        <x:v>01073002900</x:v>
      </x:c>
      <x:c r="B307" s="132" t="str">
        <x:v>Jefferson County</x:v>
      </x:c>
      <x:c r="C307" s="132" t="n">
        <x:v>1</x:v>
      </x:c>
      <x:c r="D307" s="134" t="n">
        <x:v>1838</x:v>
      </x:c>
      <x:c r="E307" s="133" t="n">
        <x:v>47.3</x:v>
      </x:c>
      <x:c r="F307" s="134" t="n">
        <x:v>581</x:v>
      </x:c>
      <x:c r="G307" s="134" t="n">
        <x:v>0</x:v>
      </x:c>
      <x:c r="H307" s="134" t="n">
        <x:v>0</x:v>
      </x:c>
      <x:c r="I307" s="134" t="n">
        <x:v>0</x:v>
      </x:c>
      <x:c r="J307" s="133" t="n">
        <x:v>0</x:v>
      </x:c>
      <x:c r="K307" s="133" t="n">
        <x:v>0</x:v>
      </x:c>
      <x:c r="L307" s="133" t="n">
        <x:v>0</x:v>
      </x:c>
      <x:c r="M307" s="133" t="n">
        <x:v>0</x:v>
      </x:c>
      <x:c r="N307" s="133" t="n">
        <x:v>0</x:v>
      </x:c>
      <x:c r="O307" s="133" t="n">
        <x:v>0</x:v>
      </x:c>
      <x:c r="P307" s="132"/>
    </x:row>
    <x:row r="308">
      <x:c r="A308" s="136" t="str">
        <x:v>01073003002</x:v>
      </x:c>
      <x:c r="B308" s="132" t="str">
        <x:v>Jefferson County</x:v>
      </x:c>
      <x:c r="C308" s="132" t="n">
        <x:v>1</x:v>
      </x:c>
      <x:c r="D308" s="134" t="n">
        <x:v>2568</x:v>
      </x:c>
      <x:c r="E308" s="133" t="n">
        <x:v>13.3</x:v>
      </x:c>
      <x:c r="F308" s="134" t="n">
        <x:v>991</x:v>
      </x:c>
      <x:c r="G308" s="134" t="n">
        <x:v>0</x:v>
      </x:c>
      <x:c r="H308" s="134" t="n">
        <x:v>0</x:v>
      </x:c>
      <x:c r="I308" s="134" t="n">
        <x:v>0</x:v>
      </x:c>
      <x:c r="J308" s="133" t="n">
        <x:v>0</x:v>
      </x:c>
      <x:c r="K308" s="133" t="n">
        <x:v>0</x:v>
      </x:c>
      <x:c r="L308" s="133" t="n">
        <x:v>0</x:v>
      </x:c>
      <x:c r="M308" s="133" t="n">
        <x:v>0</x:v>
      </x:c>
      <x:c r="N308" s="133" t="n">
        <x:v>0</x:v>
      </x:c>
      <x:c r="O308" s="133" t="n">
        <x:v>0</x:v>
      </x:c>
      <x:c r="P308" s="132"/>
    </x:row>
    <x:row r="309">
      <x:c r="A309" s="136" t="str">
        <x:v>01073003100</x:v>
      </x:c>
      <x:c r="B309" s="132" t="str">
        <x:v>Jefferson County</x:v>
      </x:c>
      <x:c r="C309" s="132" t="n">
        <x:v>1</x:v>
      </x:c>
      <x:c r="D309" s="134" t="n">
        <x:v>3051</x:v>
      </x:c>
      <x:c r="E309" s="133" t="n">
        <x:v>25.2</x:v>
      </x:c>
      <x:c r="F309" s="134" t="n">
        <x:v>1209</x:v>
      </x:c>
      <x:c r="G309" s="134" t="n">
        <x:v>0</x:v>
      </x:c>
      <x:c r="H309" s="134" t="n">
        <x:v>0</x:v>
      </x:c>
      <x:c r="I309" s="134" t="n">
        <x:v>0</x:v>
      </x:c>
      <x:c r="J309" s="133" t="n">
        <x:v>0</x:v>
      </x:c>
      <x:c r="K309" s="133" t="n">
        <x:v>0</x:v>
      </x:c>
      <x:c r="L309" s="133" t="n">
        <x:v>0</x:v>
      </x:c>
      <x:c r="M309" s="133" t="n">
        <x:v>0</x:v>
      </x:c>
      <x:c r="N309" s="133" t="n">
        <x:v>0</x:v>
      </x:c>
      <x:c r="O309" s="133" t="n">
        <x:v>0</x:v>
      </x:c>
      <x:c r="P309" s="132"/>
    </x:row>
    <x:row r="310">
      <x:c r="A310" s="136" t="str">
        <x:v>01073003200</x:v>
      </x:c>
      <x:c r="B310" s="132" t="str">
        <x:v>Jefferson County</x:v>
      </x:c>
      <x:c r="C310" s="132" t="n">
        <x:v>1</x:v>
      </x:c>
      <x:c r="D310" s="134" t="n">
        <x:v>1125</x:v>
      </x:c>
      <x:c r="E310" s="133" t="n">
        <x:v>41.5</x:v>
      </x:c>
      <x:c r="F310" s="134" t="n">
        <x:v>198</x:v>
      </x:c>
      <x:c r="G310" s="134" t="n">
        <x:v>0</x:v>
      </x:c>
      <x:c r="H310" s="134" t="n">
        <x:v>0</x:v>
      </x:c>
      <x:c r="I310" s="134" t="n">
        <x:v>0</x:v>
      </x:c>
      <x:c r="J310" s="133" t="n">
        <x:v>0</x:v>
      </x:c>
      <x:c r="K310" s="133" t="n">
        <x:v>0</x:v>
      </x:c>
      <x:c r="L310" s="133" t="n">
        <x:v>0</x:v>
      </x:c>
      <x:c r="M310" s="133" t="n">
        <x:v>0</x:v>
      </x:c>
      <x:c r="N310" s="133" t="n">
        <x:v>0</x:v>
      </x:c>
      <x:c r="O310" s="133" t="n">
        <x:v>0</x:v>
      </x:c>
      <x:c r="P310" s="132"/>
    </x:row>
    <x:row r="311">
      <x:c r="A311" s="136" t="str">
        <x:v>01073003700</x:v>
      </x:c>
      <x:c r="B311" s="132" t="str">
        <x:v>Jefferson County</x:v>
      </x:c>
      <x:c r="C311" s="132" t="n">
        <x:v>1</x:v>
      </x:c>
      <x:c r="D311" s="134" t="n">
        <x:v>4423</x:v>
      </x:c>
      <x:c r="E311" s="133" t="n">
        <x:v>29.7</x:v>
      </x:c>
      <x:c r="F311" s="134" t="n">
        <x:v>1145</x:v>
      </x:c>
      <x:c r="G311" s="134" t="n">
        <x:v>0</x:v>
      </x:c>
      <x:c r="H311" s="134" t="n">
        <x:v>0</x:v>
      </x:c>
      <x:c r="I311" s="134" t="n">
        <x:v>0</x:v>
      </x:c>
      <x:c r="J311" s="133" t="n">
        <x:v>0</x:v>
      </x:c>
      <x:c r="K311" s="133" t="n">
        <x:v>0</x:v>
      </x:c>
      <x:c r="L311" s="133" t="n">
        <x:v>0</x:v>
      </x:c>
      <x:c r="M311" s="133" t="n">
        <x:v>0</x:v>
      </x:c>
      <x:c r="N311" s="133" t="n">
        <x:v>0</x:v>
      </x:c>
      <x:c r="O311" s="133" t="n">
        <x:v>0</x:v>
      </x:c>
      <x:c r="P311" s="132"/>
    </x:row>
    <x:row r="312">
      <x:c r="A312" s="136" t="str">
        <x:v>01073003900</x:v>
      </x:c>
      <x:c r="B312" s="132" t="str">
        <x:v>Jefferson County</x:v>
      </x:c>
      <x:c r="C312" s="132" t="n">
        <x:v>1</x:v>
      </x:c>
      <x:c r="D312" s="134" t="n">
        <x:v>976</x:v>
      </x:c>
      <x:c r="E312" s="133" t="n">
        <x:v>31.8</x:v>
      </x:c>
      <x:c r="F312" s="134" t="n">
        <x:v>470</x:v>
      </x:c>
      <x:c r="G312" s="134" t="n">
        <x:v>0</x:v>
      </x:c>
      <x:c r="H312" s="134" t="n">
        <x:v>0</x:v>
      </x:c>
      <x:c r="I312" s="134" t="n">
        <x:v>0</x:v>
      </x:c>
      <x:c r="J312" s="133" t="n">
        <x:v>0</x:v>
      </x:c>
      <x:c r="K312" s="133" t="n">
        <x:v>0</x:v>
      </x:c>
      <x:c r="L312" s="133" t="n">
        <x:v>0</x:v>
      </x:c>
      <x:c r="M312" s="133" t="n">
        <x:v>0</x:v>
      </x:c>
      <x:c r="N312" s="133" t="n">
        <x:v>0</x:v>
      </x:c>
      <x:c r="O312" s="133" t="n">
        <x:v>0</x:v>
      </x:c>
      <x:c r="P312" s="132"/>
    </x:row>
    <x:row r="313">
      <x:c r="A313" s="136" t="str">
        <x:v>01073004200</x:v>
      </x:c>
      <x:c r="B313" s="132" t="str">
        <x:v>Jefferson County</x:v>
      </x:c>
      <x:c r="C313" s="132" t="n">
        <x:v>1</x:v>
      </x:c>
      <x:c r="D313" s="134" t="n">
        <x:v>1741</x:v>
      </x:c>
      <x:c r="E313" s="133" t="n">
        <x:v>26.7</x:v>
      </x:c>
      <x:c r="F313" s="134" t="n">
        <x:v>746</x:v>
      </x:c>
      <x:c r="G313" s="134" t="n">
        <x:v>0</x:v>
      </x:c>
      <x:c r="H313" s="134" t="n">
        <x:v>0</x:v>
      </x:c>
      <x:c r="I313" s="134" t="n">
        <x:v>0</x:v>
      </x:c>
      <x:c r="J313" s="133" t="n">
        <x:v>0</x:v>
      </x:c>
      <x:c r="K313" s="133" t="n">
        <x:v>0</x:v>
      </x:c>
      <x:c r="L313" s="133" t="n">
        <x:v>0</x:v>
      </x:c>
      <x:c r="M313" s="133" t="n">
        <x:v>0</x:v>
      </x:c>
      <x:c r="N313" s="133" t="n">
        <x:v>0</x:v>
      </x:c>
      <x:c r="O313" s="133" t="n">
        <x:v>0</x:v>
      </x:c>
      <x:c r="P313" s="132"/>
    </x:row>
    <x:row r="314">
      <x:c r="A314" s="136" t="str">
        <x:v>01073004501</x:v>
      </x:c>
      <x:c r="B314" s="132" t="str">
        <x:v>Jefferson County</x:v>
      </x:c>
      <x:c r="C314" s="132" t="n">
        <x:v>1</x:v>
      </x:c>
      <x:c r="D314" s="134" t="n">
        <x:v>3159</x:v>
      </x:c>
      <x:c r="E314" s="133" t="n">
        <x:v>20</x:v>
      </x:c>
      <x:c r="F314" s="134" t="n">
        <x:v>81</x:v>
      </x:c>
      <x:c r="G314" s="134" t="n">
        <x:v>0</x:v>
      </x:c>
      <x:c r="H314" s="134" t="n">
        <x:v>0</x:v>
      </x:c>
      <x:c r="I314" s="134" t="n">
        <x:v>0</x:v>
      </x:c>
      <x:c r="J314" s="133" t="n">
        <x:v>0</x:v>
      </x:c>
      <x:c r="K314" s="133" t="n">
        <x:v>0</x:v>
      </x:c>
      <x:c r="L314" s="133" t="n">
        <x:v>0</x:v>
      </x:c>
      <x:c r="M314" s="133" t="n">
        <x:v>0</x:v>
      </x:c>
      <x:c r="N314" s="133" t="n">
        <x:v>0</x:v>
      </x:c>
      <x:c r="O314" s="133" t="n">
        <x:v>0</x:v>
      </x:c>
      <x:c r="P314" s="132"/>
    </x:row>
    <x:row r="315">
      <x:c r="A315" s="136" t="str">
        <x:v>01073004502</x:v>
      </x:c>
      <x:c r="B315" s="132" t="str">
        <x:v>Jefferson County</x:v>
      </x:c>
      <x:c r="C315" s="132" t="n">
        <x:v>1</x:v>
      </x:c>
      <x:c r="D315" s="134" t="n">
        <x:v>3423</x:v>
      </x:c>
      <x:c r="E315" s="133" t="n">
        <x:v>25.2</x:v>
      </x:c>
      <x:c r="F315" s="134" t="n">
        <x:v>1680</x:v>
      </x:c>
      <x:c r="G315" s="134" t="n">
        <x:v>0</x:v>
      </x:c>
      <x:c r="H315" s="134" t="n">
        <x:v>0</x:v>
      </x:c>
      <x:c r="I315" s="134" t="n">
        <x:v>0</x:v>
      </x:c>
      <x:c r="J315" s="133" t="n">
        <x:v>0</x:v>
      </x:c>
      <x:c r="K315" s="133" t="n">
        <x:v>0</x:v>
      </x:c>
      <x:c r="L315" s="133" t="n">
        <x:v>0</x:v>
      </x:c>
      <x:c r="M315" s="133" t="n">
        <x:v>0</x:v>
      </x:c>
      <x:c r="N315" s="133" t="n">
        <x:v>0</x:v>
      </x:c>
      <x:c r="O315" s="133" t="n">
        <x:v>0</x:v>
      </x:c>
      <x:c r="P315" s="132"/>
    </x:row>
    <x:row r="316">
      <x:c r="A316" s="136" t="str">
        <x:v>01073004701</x:v>
      </x:c>
      <x:c r="B316" s="132" t="str">
        <x:v>Jefferson County</x:v>
      </x:c>
      <x:c r="C316" s="132" t="n">
        <x:v>1</x:v>
      </x:c>
      <x:c r="D316" s="134" t="n">
        <x:v>3482</x:v>
      </x:c>
      <x:c r="E316" s="133" t="n">
        <x:v>12.4</x:v>
      </x:c>
      <x:c r="F316" s="134" t="n">
        <x:v>2381</x:v>
      </x:c>
      <x:c r="G316" s="134" t="n">
        <x:v>0</x:v>
      </x:c>
      <x:c r="H316" s="134" t="n">
        <x:v>0</x:v>
      </x:c>
      <x:c r="I316" s="134" t="n">
        <x:v>0</x:v>
      </x:c>
      <x:c r="J316" s="133" t="n">
        <x:v>0</x:v>
      </x:c>
      <x:c r="K316" s="133" t="n">
        <x:v>0</x:v>
      </x:c>
      <x:c r="L316" s="133" t="n">
        <x:v>0</x:v>
      </x:c>
      <x:c r="M316" s="133" t="n">
        <x:v>0</x:v>
      </x:c>
      <x:c r="N316" s="133" t="n">
        <x:v>0</x:v>
      </x:c>
      <x:c r="O316" s="133" t="n">
        <x:v>0</x:v>
      </x:c>
      <x:c r="P316" s="132"/>
    </x:row>
    <x:row r="317">
      <x:c r="A317" s="136" t="str">
        <x:v>01073004901</x:v>
      </x:c>
      <x:c r="B317" s="132" t="str">
        <x:v>Jefferson County</x:v>
      </x:c>
      <x:c r="C317" s="132" t="n">
        <x:v>1</x:v>
      </x:c>
      <x:c r="D317" s="134" t="n">
        <x:v>1211</x:v>
      </x:c>
      <x:c r="E317" s="133" t="n">
        <x:v>28</x:v>
      </x:c>
      <x:c r="F317" s="134" t="n">
        <x:v>738</x:v>
      </x:c>
      <x:c r="G317" s="134" t="n">
        <x:v>0</x:v>
      </x:c>
      <x:c r="H317" s="134" t="n">
        <x:v>0</x:v>
      </x:c>
      <x:c r="I317" s="134" t="n">
        <x:v>0</x:v>
      </x:c>
      <x:c r="J317" s="133" t="n">
        <x:v>0</x:v>
      </x:c>
      <x:c r="K317" s="133" t="n">
        <x:v>0</x:v>
      </x:c>
      <x:c r="L317" s="133" t="n">
        <x:v>0</x:v>
      </x:c>
      <x:c r="M317" s="133" t="n">
        <x:v>0</x:v>
      </x:c>
      <x:c r="N317" s="133" t="n">
        <x:v>0</x:v>
      </x:c>
      <x:c r="O317" s="133" t="n">
        <x:v>0</x:v>
      </x:c>
      <x:c r="P317" s="132"/>
    </x:row>
    <x:row r="318">
      <x:c r="A318" s="136" t="str">
        <x:v>01073005101</x:v>
      </x:c>
      <x:c r="B318" s="132" t="str">
        <x:v>Jefferson County</x:v>
      </x:c>
      <x:c r="C318" s="132" t="n">
        <x:v>1</x:v>
      </x:c>
      <x:c r="D318" s="134" t="n">
        <x:v>1081</x:v>
      </x:c>
      <x:c r="E318" s="133" t="n">
        <x:v>40.6</x:v>
      </x:c>
      <x:c r="F318" s="134" t="n">
        <x:v>271</x:v>
      </x:c>
      <x:c r="G318" s="134" t="n">
        <x:v>0</x:v>
      </x:c>
      <x:c r="H318" s="134" t="n">
        <x:v>0</x:v>
      </x:c>
      <x:c r="I318" s="134" t="n">
        <x:v>0</x:v>
      </x:c>
      <x:c r="J318" s="133" t="n">
        <x:v>0</x:v>
      </x:c>
      <x:c r="K318" s="133" t="n">
        <x:v>0</x:v>
      </x:c>
      <x:c r="L318" s="133" t="n">
        <x:v>0</x:v>
      </x:c>
      <x:c r="M318" s="133" t="n">
        <x:v>0</x:v>
      </x:c>
      <x:c r="N318" s="133" t="n">
        <x:v>0</x:v>
      </x:c>
      <x:c r="O318" s="133" t="n">
        <x:v>0</x:v>
      </x:c>
      <x:c r="P318" s="132"/>
    </x:row>
    <x:row r="319">
      <x:c r="A319" s="136" t="str">
        <x:v>01073010100</x:v>
      </x:c>
      <x:c r="B319" s="132" t="str">
        <x:v>Jefferson County</x:v>
      </x:c>
      <x:c r="C319" s="132" t="n">
        <x:v>1</x:v>
      </x:c>
      <x:c r="D319" s="134" t="n">
        <x:v>1381</x:v>
      </x:c>
      <x:c r="E319" s="133" t="n">
        <x:v>30.9</x:v>
      </x:c>
      <x:c r="F319" s="134" t="n">
        <x:v>334</x:v>
      </x:c>
      <x:c r="G319" s="134" t="n">
        <x:v>0</x:v>
      </x:c>
      <x:c r="H319" s="134" t="n">
        <x:v>0</x:v>
      </x:c>
      <x:c r="I319" s="134" t="n">
        <x:v>0</x:v>
      </x:c>
      <x:c r="J319" s="133" t="n">
        <x:v>0</x:v>
      </x:c>
      <x:c r="K319" s="133" t="n">
        <x:v>0</x:v>
      </x:c>
      <x:c r="L319" s="133" t="n">
        <x:v>0</x:v>
      </x:c>
      <x:c r="M319" s="133" t="n">
        <x:v>0</x:v>
      </x:c>
      <x:c r="N319" s="133" t="n">
        <x:v>0</x:v>
      </x:c>
      <x:c r="O319" s="133" t="n">
        <x:v>0</x:v>
      </x:c>
      <x:c r="P319" s="132"/>
    </x:row>
    <x:row r="320">
      <x:c r="A320" s="136" t="str">
        <x:v>01073010605</x:v>
      </x:c>
      <x:c r="B320" s="132" t="str">
        <x:v>Jefferson County</x:v>
      </x:c>
      <x:c r="C320" s="132" t="n">
        <x:v>1</x:v>
      </x:c>
      <x:c r="D320" s="134" t="n">
        <x:v>936</x:v>
      </x:c>
      <x:c r="E320" s="133" t="n">
        <x:v>59</x:v>
      </x:c>
      <x:c r="F320" s="134" t="n">
        <x:v>129</x:v>
      </x:c>
      <x:c r="G320" s="134" t="n">
        <x:v>0</x:v>
      </x:c>
      <x:c r="H320" s="134" t="n">
        <x:v>0</x:v>
      </x:c>
      <x:c r="I320" s="134" t="n">
        <x:v>0</x:v>
      </x:c>
      <x:c r="J320" s="133" t="n">
        <x:v>0</x:v>
      </x:c>
      <x:c r="K320" s="133" t="n">
        <x:v>0</x:v>
      </x:c>
      <x:c r="L320" s="133" t="n">
        <x:v>0</x:v>
      </x:c>
      <x:c r="M320" s="133" t="n">
        <x:v>0</x:v>
      </x:c>
      <x:c r="N320" s="133" t="n">
        <x:v>0</x:v>
      </x:c>
      <x:c r="O320" s="133" t="n">
        <x:v>0</x:v>
      </x:c>
      <x:c r="P320" s="132"/>
    </x:row>
    <x:row r="321">
      <x:c r="A321" s="136" t="str">
        <x:v>01073010703</x:v>
      </x:c>
      <x:c r="B321" s="132" t="str">
        <x:v>Jefferson County</x:v>
      </x:c>
      <x:c r="C321" s="132" t="n">
        <x:v>1</x:v>
      </x:c>
      <x:c r="D321" s="134" t="n">
        <x:v>2552</x:v>
      </x:c>
      <x:c r="E321" s="133" t="n">
        <x:v>4.3</x:v>
      </x:c>
      <x:c r="F321" s="134" t="n">
        <x:v>2185</x:v>
      </x:c>
      <x:c r="G321" s="134" t="n">
        <x:v>0</x:v>
      </x:c>
      <x:c r="H321" s="134" t="n">
        <x:v>0</x:v>
      </x:c>
      <x:c r="I321" s="134" t="n">
        <x:v>0</x:v>
      </x:c>
      <x:c r="J321" s="133" t="n">
        <x:v>0</x:v>
      </x:c>
      <x:c r="K321" s="133" t="n">
        <x:v>0</x:v>
      </x:c>
      <x:c r="L321" s="133" t="n">
        <x:v>0</x:v>
      </x:c>
      <x:c r="M321" s="133" t="n">
        <x:v>0</x:v>
      </x:c>
      <x:c r="N321" s="133"/>
      <x:c r="O321" s="133"/>
      <x:c r="P321" s="132"/>
    </x:row>
    <x:row r="322">
      <x:c r="A322" s="136" t="str">
        <x:v>01073011114</x:v>
      </x:c>
      <x:c r="B322" s="132" t="str">
        <x:v>Jefferson County</x:v>
      </x:c>
      <x:c r="C322" s="132" t="n">
        <x:v>0</x:v>
      </x:c>
      <x:c r="D322" s="134" t="n">
        <x:v>8019</x:v>
      </x:c>
      <x:c r="E322" s="133" t="n">
        <x:v>1.2</x:v>
      </x:c>
      <x:c r="F322" s="134" t="n">
        <x:v>6880</x:v>
      </x:c>
      <x:c r="G322" s="134" t="n">
        <x:v>0</x:v>
      </x:c>
      <x:c r="H322" s="134" t="n">
        <x:v>0</x:v>
      </x:c>
      <x:c r="I322" s="134" t="n">
        <x:v>0</x:v>
      </x:c>
      <x:c r="J322" s="133" t="n">
        <x:v>0</x:v>
      </x:c>
      <x:c r="K322" s="133" t="n">
        <x:v>0</x:v>
      </x:c>
      <x:c r="L322" s="133" t="n">
        <x:v>0</x:v>
      </x:c>
      <x:c r="M322" s="133" t="n">
        <x:v>0</x:v>
      </x:c>
      <x:c r="N322" s="133"/>
      <x:c r="O322" s="133" t="n">
        <x:v>0</x:v>
      </x:c>
      <x:c r="P322" s="132"/>
    </x:row>
    <x:row r="323">
      <x:c r="A323" s="136" t="str">
        <x:v>01073011116</x:v>
      </x:c>
      <x:c r="B323" s="132" t="str">
        <x:v>Jefferson County</x:v>
      </x:c>
      <x:c r="C323" s="132" t="n">
        <x:v>0</x:v>
      </x:c>
      <x:c r="D323" s="134" t="n">
        <x:v>2819</x:v>
      </x:c>
      <x:c r="E323" s="133" t="n">
        <x:v>3.4</x:v>
      </x:c>
      <x:c r="F323" s="134" t="n">
        <x:v>1827</x:v>
      </x:c>
      <x:c r="G323" s="134" t="n">
        <x:v>0</x:v>
      </x:c>
      <x:c r="H323" s="134" t="n">
        <x:v>0</x:v>
      </x:c>
      <x:c r="I323" s="134" t="n">
        <x:v>0</x:v>
      </x:c>
      <x:c r="J323" s="133" t="n">
        <x:v>0</x:v>
      </x:c>
      <x:c r="K323" s="133" t="n">
        <x:v>0</x:v>
      </x:c>
      <x:c r="L323" s="133" t="n">
        <x:v>0</x:v>
      </x:c>
      <x:c r="M323" s="133" t="n">
        <x:v>0</x:v>
      </x:c>
      <x:c r="N323" s="133"/>
      <x:c r="O323" s="133" t="n">
        <x:v>0</x:v>
      </x:c>
      <x:c r="P323" s="132"/>
    </x:row>
    <x:row r="324">
      <x:c r="A324" s="136" t="str">
        <x:v>01073011117</x:v>
      </x:c>
      <x:c r="B324" s="132" t="str">
        <x:v>Jefferson County</x:v>
      </x:c>
      <x:c r="C324" s="132" t="n">
        <x:v>0</x:v>
      </x:c>
      <x:c r="D324" s="134" t="n">
        <x:v>6020</x:v>
      </x:c>
      <x:c r="E324" s="133" t="n">
        <x:v>2.8</x:v>
      </x:c>
      <x:c r="F324" s="134" t="n">
        <x:v>4052</x:v>
      </x:c>
      <x:c r="G324" s="134" t="n">
        <x:v>0</x:v>
      </x:c>
      <x:c r="H324" s="134" t="n">
        <x:v>0</x:v>
      </x:c>
      <x:c r="I324" s="134" t="n">
        <x:v>0</x:v>
      </x:c>
      <x:c r="J324" s="133" t="n">
        <x:v>0</x:v>
      </x:c>
      <x:c r="K324" s="133" t="n">
        <x:v>0</x:v>
      </x:c>
      <x:c r="L324" s="133" t="n">
        <x:v>0</x:v>
      </x:c>
      <x:c r="M324" s="133" t="n">
        <x:v>0</x:v>
      </x:c>
      <x:c r="N324" s="133" t="n">
        <x:v>0</x:v>
      </x:c>
      <x:c r="O324" s="133" t="n">
        <x:v>0</x:v>
      </x:c>
      <x:c r="P324" s="132"/>
    </x:row>
    <x:row r="325">
      <x:c r="A325" s="136" t="str">
        <x:v>01073011301</x:v>
      </x:c>
      <x:c r="B325" s="132" t="str">
        <x:v>Jefferson County</x:v>
      </x:c>
      <x:c r="C325" s="132" t="n">
        <x:v>0</x:v>
      </x:c>
      <x:c r="D325" s="134" t="n">
        <x:v>3562</x:v>
      </x:c>
      <x:c r="E325" s="133" t="n">
        <x:v>12</x:v>
      </x:c>
      <x:c r="F325" s="134" t="n">
        <x:v>2694</x:v>
      </x:c>
      <x:c r="G325" s="134" t="n">
        <x:v>0</x:v>
      </x:c>
      <x:c r="H325" s="134" t="n">
        <x:v>0</x:v>
      </x:c>
      <x:c r="I325" s="134" t="n">
        <x:v>0</x:v>
      </x:c>
      <x:c r="J325" s="133" t="n">
        <x:v>0</x:v>
      </x:c>
      <x:c r="K325" s="133" t="n">
        <x:v>0</x:v>
      </x:c>
      <x:c r="L325" s="133" t="n">
        <x:v>0</x:v>
      </x:c>
      <x:c r="M325" s="133" t="n">
        <x:v>0</x:v>
      </x:c>
      <x:c r="N325" s="133" t="n">
        <x:v>0</x:v>
      </x:c>
      <x:c r="O325" s="133" t="n">
        <x:v>0</x:v>
      </x:c>
      <x:c r="P325" s="132"/>
    </x:row>
    <x:row r="326">
      <x:c r="A326" s="136" t="str">
        <x:v>01073011303</x:v>
      </x:c>
      <x:c r="B326" s="132" t="str">
        <x:v>Jefferson County</x:v>
      </x:c>
      <x:c r="C326" s="132" t="n">
        <x:v>0</x:v>
      </x:c>
      <x:c r="D326" s="134" t="n">
        <x:v>3913</x:v>
      </x:c>
      <x:c r="E326" s="133" t="n">
        <x:v>10.2</x:v>
      </x:c>
      <x:c r="F326" s="134" t="n">
        <x:v>2638</x:v>
      </x:c>
      <x:c r="G326" s="134" t="n">
        <x:v>0</x:v>
      </x:c>
      <x:c r="H326" s="134" t="n">
        <x:v>0</x:v>
      </x:c>
      <x:c r="I326" s="134" t="n">
        <x:v>0</x:v>
      </x:c>
      <x:c r="J326" s="133" t="n">
        <x:v>0</x:v>
      </x:c>
      <x:c r="K326" s="133" t="n">
        <x:v>0</x:v>
      </x:c>
      <x:c r="L326" s="133" t="n">
        <x:v>0</x:v>
      </x:c>
      <x:c r="M326" s="133" t="n">
        <x:v>0</x:v>
      </x:c>
      <x:c r="N326" s="133" t="n">
        <x:v>0</x:v>
      </x:c>
      <x:c r="O326" s="133" t="n">
        <x:v>0</x:v>
      </x:c>
      <x:c r="P326" s="132"/>
    </x:row>
    <x:row r="327">
      <x:c r="A327" s="136" t="str">
        <x:v>01073011304</x:v>
      </x:c>
      <x:c r="B327" s="132" t="str">
        <x:v>Jefferson County</x:v>
      </x:c>
      <x:c r="C327" s="132" t="n">
        <x:v>0</x:v>
      </x:c>
      <x:c r="D327" s="134" t="n">
        <x:v>3748</x:v>
      </x:c>
      <x:c r="E327" s="133" t="n">
        <x:v>4.5</x:v>
      </x:c>
      <x:c r="F327" s="134" t="n">
        <x:v>3452</x:v>
      </x:c>
      <x:c r="G327" s="134" t="n">
        <x:v>0</x:v>
      </x:c>
      <x:c r="H327" s="134" t="n">
        <x:v>0</x:v>
      </x:c>
      <x:c r="I327" s="134" t="n">
        <x:v>0</x:v>
      </x:c>
      <x:c r="J327" s="133" t="n">
        <x:v>0</x:v>
      </x:c>
      <x:c r="K327" s="133" t="n">
        <x:v>0</x:v>
      </x:c>
      <x:c r="L327" s="133" t="n">
        <x:v>0</x:v>
      </x:c>
      <x:c r="M327" s="133" t="n">
        <x:v>0</x:v>
      </x:c>
      <x:c r="N327" s="133" t="n">
        <x:v>0</x:v>
      </x:c>
      <x:c r="O327" s="133" t="n">
        <x:v>0</x:v>
      </x:c>
      <x:c r="P327" s="132"/>
    </x:row>
    <x:row r="328">
      <x:c r="A328" s="136" t="str">
        <x:v>01073011401</x:v>
      </x:c>
      <x:c r="B328" s="132" t="str">
        <x:v>Jefferson County</x:v>
      </x:c>
      <x:c r="C328" s="132" t="n">
        <x:v>0</x:v>
      </x:c>
      <x:c r="D328" s="134" t="n">
        <x:v>2517</x:v>
      </x:c>
      <x:c r="E328" s="133" t="n">
        <x:v>20.8</x:v>
      </x:c>
      <x:c r="F328" s="134" t="n">
        <x:v>1584</x:v>
      </x:c>
      <x:c r="G328" s="134" t="n">
        <x:v>0</x:v>
      </x:c>
      <x:c r="H328" s="134" t="n">
        <x:v>0</x:v>
      </x:c>
      <x:c r="I328" s="134" t="n">
        <x:v>0</x:v>
      </x:c>
      <x:c r="J328" s="133" t="n">
        <x:v>0</x:v>
      </x:c>
      <x:c r="K328" s="133" t="n">
        <x:v>0</x:v>
      </x:c>
      <x:c r="L328" s="133" t="n">
        <x:v>0</x:v>
      </x:c>
      <x:c r="M328" s="133" t="n">
        <x:v>0</x:v>
      </x:c>
      <x:c r="N328" s="133" t="n">
        <x:v>0</x:v>
      </x:c>
      <x:c r="O328" s="133" t="n">
        <x:v>0</x:v>
      </x:c>
      <x:c r="P328" s="132"/>
    </x:row>
    <x:row r="329">
      <x:c r="A329" s="136" t="str">
        <x:v>01073011500</x:v>
      </x:c>
      <x:c r="B329" s="132" t="str">
        <x:v>Jefferson County</x:v>
      </x:c>
      <x:c r="C329" s="132" t="n">
        <x:v>0</x:v>
      </x:c>
      <x:c r="D329" s="134" t="n">
        <x:v>6035</x:v>
      </x:c>
      <x:c r="E329" s="133" t="n">
        <x:v>3.8</x:v>
      </x:c>
      <x:c r="F329" s="134" t="n">
        <x:v>4905</x:v>
      </x:c>
      <x:c r="G329" s="134" t="n">
        <x:v>0</x:v>
      </x:c>
      <x:c r="H329" s="134" t="n">
        <x:v>0</x:v>
      </x:c>
      <x:c r="I329" s="134" t="n">
        <x:v>0</x:v>
      </x:c>
      <x:c r="J329" s="133" t="n">
        <x:v>0</x:v>
      </x:c>
      <x:c r="K329" s="133" t="n">
        <x:v>0</x:v>
      </x:c>
      <x:c r="L329" s="133" t="n">
        <x:v>0</x:v>
      </x:c>
      <x:c r="M329" s="133" t="n">
        <x:v>0</x:v>
      </x:c>
      <x:c r="N329" s="133" t="n">
        <x:v>0</x:v>
      </x:c>
      <x:c r="O329" s="133" t="n">
        <x:v>0</x:v>
      </x:c>
      <x:c r="P329" s="132"/>
    </x:row>
    <x:row r="330">
      <x:c r="A330" s="136" t="str">
        <x:v>01073011901</x:v>
      </x:c>
      <x:c r="B330" s="132" t="str">
        <x:v>Jefferson County</x:v>
      </x:c>
      <x:c r="C330" s="132" t="n">
        <x:v>0</x:v>
      </x:c>
      <x:c r="D330" s="134" t="n">
        <x:v>2926</x:v>
      </x:c>
      <x:c r="E330" s="133" t="n">
        <x:v>28.7</x:v>
      </x:c>
      <x:c r="F330" s="134" t="n">
        <x:v>1016</x:v>
      </x:c>
      <x:c r="G330" s="134" t="n">
        <x:v>0</x:v>
      </x:c>
      <x:c r="H330" s="134" t="n">
        <x:v>0</x:v>
      </x:c>
      <x:c r="I330" s="134" t="n">
        <x:v>0</x:v>
      </x:c>
      <x:c r="J330" s="133" t="n">
        <x:v>0</x:v>
      </x:c>
      <x:c r="K330" s="133" t="n">
        <x:v>0</x:v>
      </x:c>
      <x:c r="L330" s="133" t="n">
        <x:v>0</x:v>
      </x:c>
      <x:c r="M330" s="133" t="n">
        <x:v>0</x:v>
      </x:c>
      <x:c r="N330" s="133" t="n">
        <x:v>0</x:v>
      </x:c>
      <x:c r="O330" s="133" t="n">
        <x:v>0</x:v>
      </x:c>
      <x:c r="P330" s="132"/>
    </x:row>
    <x:row r="331">
      <x:c r="A331" s="136" t="str">
        <x:v>01073012302</x:v>
      </x:c>
      <x:c r="B331" s="132" t="str">
        <x:v>Jefferson County</x:v>
      </x:c>
      <x:c r="C331" s="132" t="n">
        <x:v>0</x:v>
      </x:c>
      <x:c r="D331" s="134" t="n">
        <x:v>3918</x:v>
      </x:c>
      <x:c r="E331" s="133" t="n">
        <x:v>8.7</x:v>
      </x:c>
      <x:c r="F331" s="134" t="n">
        <x:v>3023</x:v>
      </x:c>
      <x:c r="G331" s="134" t="n">
        <x:v>0</x:v>
      </x:c>
      <x:c r="H331" s="134" t="n">
        <x:v>0</x:v>
      </x:c>
      <x:c r="I331" s="134" t="n">
        <x:v>0</x:v>
      </x:c>
      <x:c r="J331" s="133" t="n">
        <x:v>0</x:v>
      </x:c>
      <x:c r="K331" s="133" t="n">
        <x:v>0</x:v>
      </x:c>
      <x:c r="L331" s="133" t="n">
        <x:v>0</x:v>
      </x:c>
      <x:c r="M331" s="133" t="n">
        <x:v>0</x:v>
      </x:c>
      <x:c r="N331" s="133" t="n">
        <x:v>0</x:v>
      </x:c>
      <x:c r="O331" s="133" t="n">
        <x:v>0</x:v>
      </x:c>
      <x:c r="P331" s="132"/>
    </x:row>
    <x:row r="332">
      <x:c r="A332" s="136" t="str">
        <x:v>01073012403</x:v>
      </x:c>
      <x:c r="B332" s="132" t="str">
        <x:v>Jefferson County</x:v>
      </x:c>
      <x:c r="C332" s="132" t="n">
        <x:v>0</x:v>
      </x:c>
      <x:c r="D332" s="134" t="n">
        <x:v>3414</x:v>
      </x:c>
      <x:c r="E332" s="133" t="n">
        <x:v>7.8</x:v>
      </x:c>
      <x:c r="F332" s="134" t="n">
        <x:v>3317</x:v>
      </x:c>
      <x:c r="G332" s="134" t="n">
        <x:v>0</x:v>
      </x:c>
      <x:c r="H332" s="134" t="n">
        <x:v>0</x:v>
      </x:c>
      <x:c r="I332" s="134" t="n">
        <x:v>0</x:v>
      </x:c>
      <x:c r="J332" s="133" t="n">
        <x:v>0</x:v>
      </x:c>
      <x:c r="K332" s="133" t="n">
        <x:v>0</x:v>
      </x:c>
      <x:c r="L332" s="133" t="n">
        <x:v>0</x:v>
      </x:c>
      <x:c r="M332" s="133" t="n">
        <x:v>0</x:v>
      </x:c>
      <x:c r="N332" s="133" t="n">
        <x:v>0</x:v>
      </x:c>
      <x:c r="O332" s="133" t="n">
        <x:v>0</x:v>
      </x:c>
      <x:c r="P332" s="132"/>
    </x:row>
    <x:row r="333">
      <x:c r="A333" s="136" t="str">
        <x:v>01073012500</x:v>
      </x:c>
      <x:c r="B333" s="132" t="str">
        <x:v>Jefferson County</x:v>
      </x:c>
      <x:c r="C333" s="132" t="n">
        <x:v>0</x:v>
      </x:c>
      <x:c r="D333" s="134" t="n">
        <x:v>4160</x:v>
      </x:c>
      <x:c r="E333" s="133" t="n">
        <x:v>14.4</x:v>
      </x:c>
      <x:c r="F333" s="134" t="n">
        <x:v>2057</x:v>
      </x:c>
      <x:c r="G333" s="134" t="n">
        <x:v>0</x:v>
      </x:c>
      <x:c r="H333" s="134" t="n">
        <x:v>0</x:v>
      </x:c>
      <x:c r="I333" s="134" t="n">
        <x:v>0</x:v>
      </x:c>
      <x:c r="J333" s="133" t="n">
        <x:v>0</x:v>
      </x:c>
      <x:c r="K333" s="133" t="n">
        <x:v>0</x:v>
      </x:c>
      <x:c r="L333" s="133" t="n">
        <x:v>0</x:v>
      </x:c>
      <x:c r="M333" s="133" t="n">
        <x:v>0</x:v>
      </x:c>
      <x:c r="N333" s="133" t="n">
        <x:v>0</x:v>
      </x:c>
      <x:c r="O333" s="133" t="n">
        <x:v>0</x:v>
      </x:c>
      <x:c r="P333" s="132"/>
    </x:row>
    <x:row r="334">
      <x:c r="A334" s="136" t="str">
        <x:v>01073012602</x:v>
      </x:c>
      <x:c r="B334" s="132" t="str">
        <x:v>Jefferson County</x:v>
      </x:c>
      <x:c r="C334" s="132" t="n">
        <x:v>0</x:v>
      </x:c>
      <x:c r="D334" s="134" t="n">
        <x:v>3106</x:v>
      </x:c>
      <x:c r="E334" s="133" t="n">
        <x:v>23.9</x:v>
      </x:c>
      <x:c r="F334" s="134" t="n">
        <x:v>1690</x:v>
      </x:c>
      <x:c r="G334" s="134" t="n">
        <x:v>0</x:v>
      </x:c>
      <x:c r="H334" s="134" t="n">
        <x:v>0</x:v>
      </x:c>
      <x:c r="I334" s="134" t="n">
        <x:v>0</x:v>
      </x:c>
      <x:c r="J334" s="133" t="n">
        <x:v>0</x:v>
      </x:c>
      <x:c r="K334" s="133" t="n">
        <x:v>0</x:v>
      </x:c>
      <x:c r="L334" s="133" t="n">
        <x:v>0</x:v>
      </x:c>
      <x:c r="M334" s="133" t="n">
        <x:v>0</x:v>
      </x:c>
      <x:c r="N334" s="133" t="n">
        <x:v>0</x:v>
      </x:c>
      <x:c r="O334" s="133" t="n">
        <x:v>0</x:v>
      </x:c>
      <x:c r="P334" s="132"/>
    </x:row>
    <x:row r="335">
      <x:c r="A335" s="136" t="str">
        <x:v>01073012704</x:v>
      </x:c>
      <x:c r="B335" s="132" t="str">
        <x:v>Jefferson County</x:v>
      </x:c>
      <x:c r="C335" s="132" t="n">
        <x:v>0</x:v>
      </x:c>
      <x:c r="D335" s="134" t="n">
        <x:v>2505</x:v>
      </x:c>
      <x:c r="E335" s="133" t="n">
        <x:v>2.1</x:v>
      </x:c>
      <x:c r="F335" s="134" t="n">
        <x:v>2615</x:v>
      </x:c>
      <x:c r="G335" s="134" t="n">
        <x:v>0</x:v>
      </x:c>
      <x:c r="H335" s="134" t="n">
        <x:v>0</x:v>
      </x:c>
      <x:c r="I335" s="134" t="n">
        <x:v>0</x:v>
      </x:c>
      <x:c r="J335" s="133" t="n">
        <x:v>0</x:v>
      </x:c>
      <x:c r="K335" s="133" t="n">
        <x:v>0</x:v>
      </x:c>
      <x:c r="L335" s="133" t="n">
        <x:v>0</x:v>
      </x:c>
      <x:c r="M335" s="133" t="n">
        <x:v>0</x:v>
      </x:c>
      <x:c r="N335" s="133" t="n">
        <x:v>0</x:v>
      </x:c>
      <x:c r="O335" s="133" t="n">
        <x:v>0</x:v>
      </x:c>
      <x:c r="P335" s="132"/>
    </x:row>
    <x:row r="336">
      <x:c r="A336" s="136" t="str">
        <x:v>01073012802</x:v>
      </x:c>
      <x:c r="B336" s="132" t="str">
        <x:v>Jefferson County</x:v>
      </x:c>
      <x:c r="C336" s="132" t="n">
        <x:v>1</x:v>
      </x:c>
      <x:c r="D336" s="134" t="n">
        <x:v>3109</x:v>
      </x:c>
      <x:c r="E336" s="133" t="n">
        <x:v>7.9</x:v>
      </x:c>
      <x:c r="F336" s="134" t="n">
        <x:v>2200</x:v>
      </x:c>
      <x:c r="G336" s="134" t="n">
        <x:v>0</x:v>
      </x:c>
      <x:c r="H336" s="134" t="n">
        <x:v>0</x:v>
      </x:c>
      <x:c r="I336" s="134" t="n">
        <x:v>0</x:v>
      </x:c>
      <x:c r="J336" s="133" t="n">
        <x:v>0</x:v>
      </x:c>
      <x:c r="K336" s="133" t="n">
        <x:v>0</x:v>
      </x:c>
      <x:c r="L336" s="133" t="n">
        <x:v>0</x:v>
      </x:c>
      <x:c r="M336" s="133" t="n">
        <x:v>0</x:v>
      </x:c>
      <x:c r="N336" s="133" t="n">
        <x:v>0</x:v>
      </x:c>
      <x:c r="O336" s="133" t="n">
        <x:v>0</x:v>
      </x:c>
      <x:c r="P336" s="132"/>
    </x:row>
    <x:row r="337">
      <x:c r="A337" s="136" t="str">
        <x:v>01073012805</x:v>
      </x:c>
      <x:c r="B337" s="132" t="str">
        <x:v>Jefferson County</x:v>
      </x:c>
      <x:c r="C337" s="132" t="n">
        <x:v>0</x:v>
      </x:c>
      <x:c r="D337" s="134" t="n">
        <x:v>2255</x:v>
      </x:c>
      <x:c r="E337" s="133" t="n">
        <x:v>15.2</x:v>
      </x:c>
      <x:c r="F337" s="134" t="n">
        <x:v>1337</x:v>
      </x:c>
      <x:c r="G337" s="134" t="n">
        <x:v>0</x:v>
      </x:c>
      <x:c r="H337" s="134" t="n">
        <x:v>0</x:v>
      </x:c>
      <x:c r="I337" s="134" t="n">
        <x:v>0</x:v>
      </x:c>
      <x:c r="J337" s="133" t="n">
        <x:v>0</x:v>
      </x:c>
      <x:c r="K337" s="133" t="n">
        <x:v>0</x:v>
      </x:c>
      <x:c r="L337" s="133" t="n">
        <x:v>0</x:v>
      </x:c>
      <x:c r="M337" s="133" t="n">
        <x:v>0</x:v>
      </x:c>
      <x:c r="N337" s="133" t="n">
        <x:v>0</x:v>
      </x:c>
      <x:c r="O337" s="133" t="n">
        <x:v>0</x:v>
      </x:c>
      <x:c r="P337" s="132"/>
    </x:row>
    <x:row r="338">
      <x:c r="A338" s="136" t="str">
        <x:v>01073012919</x:v>
      </x:c>
      <x:c r="B338" s="132" t="str">
        <x:v>Jefferson County</x:v>
      </x:c>
      <x:c r="C338" s="132" t="n">
        <x:v>1</x:v>
      </x:c>
      <x:c r="D338" s="134" t="n">
        <x:v>2841</x:v>
      </x:c>
      <x:c r="E338" s="133" t="n">
        <x:v>21.9</x:v>
      </x:c>
      <x:c r="F338" s="134" t="n">
        <x:v>1113</x:v>
      </x:c>
      <x:c r="G338" s="134" t="n">
        <x:v>0</x:v>
      </x:c>
      <x:c r="H338" s="134" t="n">
        <x:v>0</x:v>
      </x:c>
      <x:c r="I338" s="134" t="n">
        <x:v>0</x:v>
      </x:c>
      <x:c r="J338" s="133" t="n">
        <x:v>0</x:v>
      </x:c>
      <x:c r="K338" s="133" t="n">
        <x:v>0</x:v>
      </x:c>
      <x:c r="L338" s="133" t="n">
        <x:v>0</x:v>
      </x:c>
      <x:c r="M338" s="133" t="n">
        <x:v>0</x:v>
      </x:c>
      <x:c r="N338" s="133" t="n">
        <x:v>0</x:v>
      </x:c>
      <x:c r="O338" s="133" t="n">
        <x:v>0</x:v>
      </x:c>
      <x:c r="P338" s="132"/>
    </x:row>
    <x:row r="339">
      <x:c r="A339" s="136" t="str">
        <x:v>01073014104</x:v>
      </x:c>
      <x:c r="B339" s="132" t="str">
        <x:v>Jefferson County</x:v>
      </x:c>
      <x:c r="C339" s="132" t="n">
        <x:v>0</x:v>
      </x:c>
      <x:c r="D339" s="134" t="n">
        <x:v>3820</x:v>
      </x:c>
      <x:c r="E339" s="133" t="n">
        <x:v>14.1</x:v>
      </x:c>
      <x:c r="F339" s="134" t="n">
        <x:v>2777</x:v>
      </x:c>
      <x:c r="G339" s="134" t="n">
        <x:v>0</x:v>
      </x:c>
      <x:c r="H339" s="134" t="n">
        <x:v>0</x:v>
      </x:c>
      <x:c r="I339" s="134" t="n">
        <x:v>0</x:v>
      </x:c>
      <x:c r="J339" s="133" t="n">
        <x:v>0</x:v>
      </x:c>
      <x:c r="K339" s="133" t="n">
        <x:v>0</x:v>
      </x:c>
      <x:c r="L339" s="133" t="n">
        <x:v>0</x:v>
      </x:c>
      <x:c r="M339" s="133" t="n">
        <x:v>0</x:v>
      </x:c>
      <x:c r="N339" s="133" t="n">
        <x:v>0</x:v>
      </x:c>
      <x:c r="O339" s="133" t="n">
        <x:v>0</x:v>
      </x:c>
      <x:c r="P339" s="132"/>
    </x:row>
    <x:row r="340">
      <x:c r="A340" s="136" t="str">
        <x:v>01073014206</x:v>
      </x:c>
      <x:c r="B340" s="132" t="str">
        <x:v>Jefferson County</x:v>
      </x:c>
      <x:c r="C340" s="132" t="n">
        <x:v>0</x:v>
      </x:c>
      <x:c r="D340" s="134" t="n">
        <x:v>5256</x:v>
      </x:c>
      <x:c r="E340" s="133" t="n">
        <x:v>6</x:v>
      </x:c>
      <x:c r="F340" s="134" t="n">
        <x:v>4462</x:v>
      </x:c>
      <x:c r="G340" s="134" t="n">
        <x:v>0</x:v>
      </x:c>
      <x:c r="H340" s="134" t="n">
        <x:v>0</x:v>
      </x:c>
      <x:c r="I340" s="134" t="n">
        <x:v>0</x:v>
      </x:c>
      <x:c r="J340" s="133" t="n">
        <x:v>0</x:v>
      </x:c>
      <x:c r="K340" s="133" t="n">
        <x:v>0</x:v>
      </x:c>
      <x:c r="L340" s="133" t="n">
        <x:v>0</x:v>
      </x:c>
      <x:c r="M340" s="133" t="n">
        <x:v>0</x:v>
      </x:c>
      <x:c r="N340" s="133" t="n">
        <x:v>0</x:v>
      </x:c>
      <x:c r="O340" s="133" t="n">
        <x:v>0</x:v>
      </x:c>
      <x:c r="P340" s="132"/>
    </x:row>
    <x:row r="341">
      <x:c r="A341" s="136" t="str">
        <x:v>01073014303</x:v>
      </x:c>
      <x:c r="B341" s="132" t="str">
        <x:v>Jefferson County</x:v>
      </x:c>
      <x:c r="C341" s="132" t="n">
        <x:v>0</x:v>
      </x:c>
      <x:c r="D341" s="134" t="n">
        <x:v>6557</x:v>
      </x:c>
      <x:c r="E341" s="133" t="n">
        <x:v>9</x:v>
      </x:c>
      <x:c r="F341" s="134" t="n">
        <x:v>5176</x:v>
      </x:c>
      <x:c r="G341" s="134" t="n">
        <x:v>0</x:v>
      </x:c>
      <x:c r="H341" s="134" t="n">
        <x:v>0</x:v>
      </x:c>
      <x:c r="I341" s="134" t="n">
        <x:v>0</x:v>
      </x:c>
      <x:c r="J341" s="133" t="n">
        <x:v>0</x:v>
      </x:c>
      <x:c r="K341" s="133" t="n">
        <x:v>0</x:v>
      </x:c>
      <x:c r="L341" s="133" t="n">
        <x:v>0</x:v>
      </x:c>
      <x:c r="M341" s="133" t="n">
        <x:v>0</x:v>
      </x:c>
      <x:c r="N341" s="133" t="n">
        <x:v>0</x:v>
      </x:c>
      <x:c r="O341" s="133" t="n">
        <x:v>0</x:v>
      </x:c>
      <x:c r="P341" s="132"/>
    </x:row>
    <x:row r="342">
      <x:c r="A342" s="136" t="str">
        <x:v>01073014415</x:v>
      </x:c>
      <x:c r="B342" s="132" t="str">
        <x:v>Jefferson County</x:v>
      </x:c>
      <x:c r="C342" s="132" t="n">
        <x:v>0</x:v>
      </x:c>
      <x:c r="D342" s="134" t="n">
        <x:v>3918</x:v>
      </x:c>
      <x:c r="E342" s="133" t="n">
        <x:v>3.6</x:v>
      </x:c>
      <x:c r="F342" s="134" t="n">
        <x:v>4352</x:v>
      </x:c>
      <x:c r="G342" s="134" t="n">
        <x:v>0</x:v>
      </x:c>
      <x:c r="H342" s="134" t="n">
        <x:v>0</x:v>
      </x:c>
      <x:c r="I342" s="134" t="n">
        <x:v>0</x:v>
      </x:c>
      <x:c r="J342" s="133" t="n">
        <x:v>0</x:v>
      </x:c>
      <x:c r="K342" s="133" t="n">
        <x:v>0</x:v>
      </x:c>
      <x:c r="L342" s="133" t="n">
        <x:v>0</x:v>
      </x:c>
      <x:c r="M342" s="133" t="n">
        <x:v>0</x:v>
      </x:c>
      <x:c r="N342" s="133" t="n">
        <x:v>0</x:v>
      </x:c>
      <x:c r="O342" s="133" t="n">
        <x:v>0</x:v>
      </x:c>
      <x:c r="P342" s="132"/>
    </x:row>
    <x:row r="343">
      <x:c r="A343" s="136" t="str">
        <x:v>01075030101</x:v>
      </x:c>
      <x:c r="B343" s="132" t="str">
        <x:v>Lamar County</x:v>
      </x:c>
      <x:c r="C343" s="132" t="n">
        <x:v>0</x:v>
      </x:c>
      <x:c r="D343" s="134" t="n">
        <x:v>3340</x:v>
      </x:c>
      <x:c r="E343" s="133" t="n">
        <x:v>25.9</x:v>
      </x:c>
      <x:c r="F343" s="134" t="n">
        <x:v>1704</x:v>
      </x:c>
      <x:c r="G343" s="134" t="n">
        <x:v>0</x:v>
      </x:c>
      <x:c r="H343" s="134" t="n">
        <x:v>0</x:v>
      </x:c>
      <x:c r="I343" s="134" t="n">
        <x:v>0</x:v>
      </x:c>
      <x:c r="J343" s="133" t="n">
        <x:v>0</x:v>
      </x:c>
      <x:c r="K343" s="133" t="n">
        <x:v>0</x:v>
      </x:c>
      <x:c r="L343" s="133" t="n">
        <x:v>0</x:v>
      </x:c>
      <x:c r="M343" s="133" t="n">
        <x:v>0</x:v>
      </x:c>
      <x:c r="N343" s="133" t="n">
        <x:v>0</x:v>
      </x:c>
      <x:c r="O343" s="133" t="n">
        <x:v>0</x:v>
      </x:c>
      <x:c r="P343" s="132"/>
    </x:row>
    <x:row r="344">
      <x:c r="A344" s="136" t="str">
        <x:v>01077010100</x:v>
      </x:c>
      <x:c r="B344" s="132" t="str">
        <x:v>Lauderdale County</x:v>
      </x:c>
      <x:c r="C344" s="132" t="n">
        <x:v>1</x:v>
      </x:c>
      <x:c r="D344" s="134" t="n">
        <x:v>2278</x:v>
      </x:c>
      <x:c r="E344" s="133" t="n">
        <x:v>30.5</x:v>
      </x:c>
      <x:c r="F344" s="134" t="n">
        <x:v>349</x:v>
      </x:c>
      <x:c r="G344" s="134" t="n">
        <x:v>0</x:v>
      </x:c>
      <x:c r="H344" s="134" t="n">
        <x:v>0</x:v>
      </x:c>
      <x:c r="I344" s="134" t="n">
        <x:v>0</x:v>
      </x:c>
      <x:c r="J344" s="133" t="n">
        <x:v>0</x:v>
      </x:c>
      <x:c r="K344" s="133" t="n">
        <x:v>0</x:v>
      </x:c>
      <x:c r="L344" s="133" t="n">
        <x:v>0</x:v>
      </x:c>
      <x:c r="M344" s="133" t="n">
        <x:v>0</x:v>
      </x:c>
      <x:c r="N344" s="133" t="n">
        <x:v>0</x:v>
      </x:c>
      <x:c r="O344" s="133" t="n">
        <x:v>0</x:v>
      </x:c>
      <x:c r="P344" s="132"/>
    </x:row>
    <x:row r="345">
      <x:c r="A345" s="136" t="str">
        <x:v>01077010600</x:v>
      </x:c>
      <x:c r="B345" s="132" t="str">
        <x:v>Lauderdale County</x:v>
      </x:c>
      <x:c r="C345" s="132" t="n">
        <x:v>1</x:v>
      </x:c>
      <x:c r="D345" s="134" t="n">
        <x:v>2672</x:v>
      </x:c>
      <x:c r="E345" s="133" t="n">
        <x:v>16.6</x:v>
      </x:c>
      <x:c r="F345" s="134" t="n">
        <x:v>1414</x:v>
      </x:c>
      <x:c r="G345" s="134" t="n">
        <x:v>0</x:v>
      </x:c>
      <x:c r="H345" s="134" t="n">
        <x:v>0</x:v>
      </x:c>
      <x:c r="I345" s="134" t="n">
        <x:v>0</x:v>
      </x:c>
      <x:c r="J345" s="133" t="n">
        <x:v>0</x:v>
      </x:c>
      <x:c r="K345" s="133" t="n">
        <x:v>0</x:v>
      </x:c>
      <x:c r="L345" s="133" t="n">
        <x:v>0</x:v>
      </x:c>
      <x:c r="M345" s="133" t="n">
        <x:v>0</x:v>
      </x:c>
      <x:c r="N345" s="133" t="n">
        <x:v>0</x:v>
      </x:c>
      <x:c r="O345" s="133" t="n">
        <x:v>0</x:v>
      </x:c>
      <x:c r="P345" s="132"/>
    </x:row>
    <x:row r="346">
      <x:c r="A346" s="136" t="str">
        <x:v>01077011401</x:v>
      </x:c>
      <x:c r="B346" s="132" t="str">
        <x:v>Lauderdale County</x:v>
      </x:c>
      <x:c r="C346" s="132" t="n">
        <x:v>0</x:v>
      </x:c>
      <x:c r="D346" s="134" t="n">
        <x:v>3358</x:v>
      </x:c>
      <x:c r="E346" s="133" t="n">
        <x:v>19.2</x:v>
      </x:c>
      <x:c r="F346" s="134" t="n">
        <x:v>1813</x:v>
      </x:c>
      <x:c r="G346" s="134" t="n">
        <x:v>0</x:v>
      </x:c>
      <x:c r="H346" s="134" t="n">
        <x:v>0</x:v>
      </x:c>
      <x:c r="I346" s="134" t="n">
        <x:v>0</x:v>
      </x:c>
      <x:c r="J346" s="133" t="n">
        <x:v>0</x:v>
      </x:c>
      <x:c r="K346" s="133" t="n">
        <x:v>0</x:v>
      </x:c>
      <x:c r="L346" s="133" t="n">
        <x:v>0</x:v>
      </x:c>
      <x:c r="M346" s="133" t="n">
        <x:v>0</x:v>
      </x:c>
      <x:c r="N346" s="133" t="n">
        <x:v>0</x:v>
      </x:c>
      <x:c r="O346" s="133" t="n">
        <x:v>0</x:v>
      </x:c>
      <x:c r="P346" s="132"/>
    </x:row>
    <x:row r="347">
      <x:c r="A347" s="136" t="str">
        <x:v>01077011402</x:v>
      </x:c>
      <x:c r="B347" s="132" t="str">
        <x:v>Lauderdale County</x:v>
      </x:c>
      <x:c r="C347" s="132" t="n">
        <x:v>0</x:v>
      </x:c>
      <x:c r="D347" s="134" t="n">
        <x:v>2948</x:v>
      </x:c>
      <x:c r="E347" s="133" t="n">
        <x:v>2.8</x:v>
      </x:c>
      <x:c r="F347" s="134" t="n">
        <x:v>3249</x:v>
      </x:c>
      <x:c r="G347" s="134" t="n">
        <x:v>0</x:v>
      </x:c>
      <x:c r="H347" s="134" t="n">
        <x:v>0</x:v>
      </x:c>
      <x:c r="I347" s="134" t="n">
        <x:v>0</x:v>
      </x:c>
      <x:c r="J347" s="133" t="n">
        <x:v>0</x:v>
      </x:c>
      <x:c r="K347" s="133" t="n">
        <x:v>0</x:v>
      </x:c>
      <x:c r="L347" s="133" t="n">
        <x:v>0</x:v>
      </x:c>
      <x:c r="M347" s="133" t="n">
        <x:v>0</x:v>
      </x:c>
      <x:c r="N347" s="133"/>
      <x:c r="O347" s="133" t="n">
        <x:v>0</x:v>
      </x:c>
      <x:c r="P347" s="132"/>
    </x:row>
    <x:row r="348">
      <x:c r="A348" s="136" t="str">
        <x:v>01077011502</x:v>
      </x:c>
      <x:c r="B348" s="132" t="str">
        <x:v>Lauderdale County</x:v>
      </x:c>
      <x:c r="C348" s="132" t="n">
        <x:v>0</x:v>
      </x:c>
      <x:c r="D348" s="134" t="n">
        <x:v>5501</x:v>
      </x:c>
      <x:c r="E348" s="133" t="n">
        <x:v>16.6</x:v>
      </x:c>
      <x:c r="F348" s="134" t="n">
        <x:v>3275</x:v>
      </x:c>
      <x:c r="G348" s="134" t="n">
        <x:v>0</x:v>
      </x:c>
      <x:c r="H348" s="134" t="n">
        <x:v>0</x:v>
      </x:c>
      <x:c r="I348" s="134" t="n">
        <x:v>0</x:v>
      </x:c>
      <x:c r="J348" s="133" t="n">
        <x:v>0</x:v>
      </x:c>
      <x:c r="K348" s="133" t="n">
        <x:v>0</x:v>
      </x:c>
      <x:c r="L348" s="133" t="n">
        <x:v>0</x:v>
      </x:c>
      <x:c r="M348" s="133" t="n">
        <x:v>0</x:v>
      </x:c>
      <x:c r="N348" s="133" t="n">
        <x:v>0</x:v>
      </x:c>
      <x:c r="O348" s="133" t="n">
        <x:v>0</x:v>
      </x:c>
      <x:c r="P348" s="132"/>
    </x:row>
    <x:row r="349">
      <x:c r="A349" s="136" t="str">
        <x:v>01077011602</x:v>
      </x:c>
      <x:c r="B349" s="132" t="str">
        <x:v>Lauderdale County</x:v>
      </x:c>
      <x:c r="C349" s="132" t="n">
        <x:v>0</x:v>
      </x:c>
      <x:c r="D349" s="134" t="n">
        <x:v>4798</x:v>
      </x:c>
      <x:c r="E349" s="133" t="n">
        <x:v>7.4</x:v>
      </x:c>
      <x:c r="F349" s="134" t="n">
        <x:v>3281</x:v>
      </x:c>
      <x:c r="G349" s="134" t="n">
        <x:v>0</x:v>
      </x:c>
      <x:c r="H349" s="134" t="n">
        <x:v>0</x:v>
      </x:c>
      <x:c r="I349" s="134" t="n">
        <x:v>0</x:v>
      </x:c>
      <x:c r="J349" s="133" t="n">
        <x:v>0</x:v>
      </x:c>
      <x:c r="K349" s="133" t="n">
        <x:v>0</x:v>
      </x:c>
      <x:c r="L349" s="133" t="n">
        <x:v>0</x:v>
      </x:c>
      <x:c r="M349" s="133" t="n">
        <x:v>0</x:v>
      </x:c>
      <x:c r="N349" s="133" t="n">
        <x:v>0</x:v>
      </x:c>
      <x:c r="O349" s="133" t="n">
        <x:v>0</x:v>
      </x:c>
      <x:c r="P349" s="132"/>
    </x:row>
    <x:row r="350">
      <x:c r="A350" s="136" t="str">
        <x:v>01077011603</x:v>
      </x:c>
      <x:c r="B350" s="132" t="str">
        <x:v>Lauderdale County</x:v>
      </x:c>
      <x:c r="C350" s="132" t="n">
        <x:v>0</x:v>
      </x:c>
      <x:c r="D350" s="134" t="n">
        <x:v>4773</x:v>
      </x:c>
      <x:c r="E350" s="133" t="n">
        <x:v>2.7</x:v>
      </x:c>
      <x:c r="F350" s="134" t="n">
        <x:v>3970</x:v>
      </x:c>
      <x:c r="G350" s="134" t="n">
        <x:v>0</x:v>
      </x:c>
      <x:c r="H350" s="134" t="n">
        <x:v>0</x:v>
      </x:c>
      <x:c r="I350" s="134" t="n">
        <x:v>0</x:v>
      </x:c>
      <x:c r="J350" s="133" t="n">
        <x:v>0</x:v>
      </x:c>
      <x:c r="K350" s="133" t="n">
        <x:v>0</x:v>
      </x:c>
      <x:c r="L350" s="133" t="n">
        <x:v>0</x:v>
      </x:c>
      <x:c r="M350" s="133" t="n">
        <x:v>0</x:v>
      </x:c>
      <x:c r="N350" s="133" t="n">
        <x:v>0</x:v>
      </x:c>
      <x:c r="O350" s="133" t="n">
        <x:v>0</x:v>
      </x:c>
      <x:c r="P350" s="132"/>
    </x:row>
    <x:row r="351">
      <x:c r="A351" s="136" t="str">
        <x:v>01077011700</x:v>
      </x:c>
      <x:c r="B351" s="132" t="str">
        <x:v>Lauderdale County</x:v>
      </x:c>
      <x:c r="C351" s="132" t="n">
        <x:v>0</x:v>
      </x:c>
      <x:c r="D351" s="134" t="n">
        <x:v>4467</x:v>
      </x:c>
      <x:c r="E351" s="133" t="n">
        <x:v>9.2</x:v>
      </x:c>
      <x:c r="F351" s="134" t="n">
        <x:v>4137</x:v>
      </x:c>
      <x:c r="G351" s="134" t="n">
        <x:v>0</x:v>
      </x:c>
      <x:c r="H351" s="134" t="n">
        <x:v>0</x:v>
      </x:c>
      <x:c r="I351" s="134" t="n">
        <x:v>0</x:v>
      </x:c>
      <x:c r="J351" s="133" t="n">
        <x:v>0</x:v>
      </x:c>
      <x:c r="K351" s="133" t="n">
        <x:v>0</x:v>
      </x:c>
      <x:c r="L351" s="133" t="n">
        <x:v>0</x:v>
      </x:c>
      <x:c r="M351" s="133" t="n">
        <x:v>0</x:v>
      </x:c>
      <x:c r="N351" s="133" t="n">
        <x:v>0</x:v>
      </x:c>
      <x:c r="O351" s="133" t="n">
        <x:v>0</x:v>
      </x:c>
      <x:c r="P351" s="132"/>
    </x:row>
    <x:row r="352">
      <x:c r="A352" s="136" t="str">
        <x:v>01077011801</x:v>
      </x:c>
      <x:c r="B352" s="132" t="str">
        <x:v>Lauderdale County</x:v>
      </x:c>
      <x:c r="C352" s="132" t="n">
        <x:v>0</x:v>
      </x:c>
      <x:c r="D352" s="134" t="n">
        <x:v>4576</x:v>
      </x:c>
      <x:c r="E352" s="133" t="n">
        <x:v>12.2</x:v>
      </x:c>
      <x:c r="F352" s="134" t="n">
        <x:v>3177</x:v>
      </x:c>
      <x:c r="G352" s="134" t="n">
        <x:v>0</x:v>
      </x:c>
      <x:c r="H352" s="134" t="n">
        <x:v>0</x:v>
      </x:c>
      <x:c r="I352" s="134" t="n">
        <x:v>0</x:v>
      </x:c>
      <x:c r="J352" s="133" t="n">
        <x:v>0</x:v>
      </x:c>
      <x:c r="K352" s="133" t="n">
        <x:v>0</x:v>
      </x:c>
      <x:c r="L352" s="133" t="n">
        <x:v>0</x:v>
      </x:c>
      <x:c r="M352" s="133" t="n">
        <x:v>0</x:v>
      </x:c>
      <x:c r="N352" s="133" t="n">
        <x:v>0</x:v>
      </x:c>
      <x:c r="O352" s="133" t="n">
        <x:v>0</x:v>
      </x:c>
      <x:c r="P352" s="132"/>
    </x:row>
    <x:row r="353">
      <x:c r="A353" s="136" t="str">
        <x:v>01079979201</x:v>
      </x:c>
      <x:c r="B353" s="132" t="str">
        <x:v>Lawrence County</x:v>
      </x:c>
      <x:c r="C353" s="132" t="n">
        <x:v>0</x:v>
      </x:c>
      <x:c r="D353" s="134" t="n">
        <x:v>1874</x:v>
      </x:c>
      <x:c r="E353" s="133" t="n">
        <x:v>21.8</x:v>
      </x:c>
      <x:c r="F353" s="134" t="n">
        <x:v>841</x:v>
      </x:c>
      <x:c r="G353" s="134" t="n">
        <x:v>0</x:v>
      </x:c>
      <x:c r="H353" s="134" t="n">
        <x:v>0</x:v>
      </x:c>
      <x:c r="I353" s="134" t="n">
        <x:v>0</x:v>
      </x:c>
      <x:c r="J353" s="133" t="n">
        <x:v>0</x:v>
      </x:c>
      <x:c r="K353" s="133" t="n">
        <x:v>0</x:v>
      </x:c>
      <x:c r="L353" s="133" t="n">
        <x:v>0</x:v>
      </x:c>
      <x:c r="M353" s="133" t="n">
        <x:v>0</x:v>
      </x:c>
      <x:c r="N353" s="133" t="n">
        <x:v>0</x:v>
      </x:c>
      <x:c r="O353" s="133" t="n">
        <x:v>0</x:v>
      </x:c>
      <x:c r="P353" s="132"/>
    </x:row>
    <x:row r="354">
      <x:c r="A354" s="136" t="str">
        <x:v>01079979202</x:v>
      </x:c>
      <x:c r="B354" s="132" t="str">
        <x:v>Lawrence County</x:v>
      </x:c>
      <x:c r="C354" s="132" t="n">
        <x:v>0</x:v>
      </x:c>
      <x:c r="D354" s="134" t="n">
        <x:v>2251</x:v>
      </x:c>
      <x:c r="E354" s="133" t="n">
        <x:v>27.1</x:v>
      </x:c>
      <x:c r="F354" s="134" t="n">
        <x:v>1266</x:v>
      </x:c>
      <x:c r="G354" s="134" t="n">
        <x:v>0</x:v>
      </x:c>
      <x:c r="H354" s="134" t="n">
        <x:v>0</x:v>
      </x:c>
      <x:c r="I354" s="134" t="n">
        <x:v>0</x:v>
      </x:c>
      <x:c r="J354" s="133" t="n">
        <x:v>0</x:v>
      </x:c>
      <x:c r="K354" s="133" t="n">
        <x:v>0</x:v>
      </x:c>
      <x:c r="L354" s="133" t="n">
        <x:v>0</x:v>
      </x:c>
      <x:c r="M354" s="133" t="n">
        <x:v>0</x:v>
      </x:c>
      <x:c r="N354" s="133" t="n">
        <x:v>0</x:v>
      </x:c>
      <x:c r="O354" s="133" t="n">
        <x:v>0</x:v>
      </x:c>
      <x:c r="P354" s="132"/>
    </x:row>
    <x:row r="355">
      <x:c r="A355" s="136" t="str">
        <x:v>01079979300</x:v>
      </x:c>
      <x:c r="B355" s="132" t="str">
        <x:v>Lawrence County</x:v>
      </x:c>
      <x:c r="C355" s="132" t="n">
        <x:v>0</x:v>
      </x:c>
      <x:c r="D355" s="134" t="n">
        <x:v>4550</x:v>
      </x:c>
      <x:c r="E355" s="133" t="n">
        <x:v>11.9</x:v>
      </x:c>
      <x:c r="F355" s="134" t="n">
        <x:v>3187</x:v>
      </x:c>
      <x:c r="G355" s="134" t="n">
        <x:v>0</x:v>
      </x:c>
      <x:c r="H355" s="134" t="n">
        <x:v>0</x:v>
      </x:c>
      <x:c r="I355" s="134" t="n">
        <x:v>0</x:v>
      </x:c>
      <x:c r="J355" s="133" t="n">
        <x:v>0</x:v>
      </x:c>
      <x:c r="K355" s="133" t="n">
        <x:v>0</x:v>
      </x:c>
      <x:c r="L355" s="133" t="n">
        <x:v>0</x:v>
      </x:c>
      <x:c r="M355" s="133" t="n">
        <x:v>0</x:v>
      </x:c>
      <x:c r="N355" s="133" t="n">
        <x:v>0</x:v>
      </x:c>
      <x:c r="O355" s="133" t="n">
        <x:v>0</x:v>
      </x:c>
      <x:c r="P355" s="132"/>
    </x:row>
    <x:row r="356">
      <x:c r="A356" s="136" t="str">
        <x:v>01079979400</x:v>
      </x:c>
      <x:c r="B356" s="132" t="str">
        <x:v>Lawrence County</x:v>
      </x:c>
      <x:c r="C356" s="132" t="n">
        <x:v>0</x:v>
      </x:c>
      <x:c r="D356" s="134" t="n">
        <x:v>4399</x:v>
      </x:c>
      <x:c r="E356" s="133" t="n">
        <x:v>13.7</x:v>
      </x:c>
      <x:c r="F356" s="134" t="n">
        <x:v>3130</x:v>
      </x:c>
      <x:c r="G356" s="134" t="n">
        <x:v>0</x:v>
      </x:c>
      <x:c r="H356" s="134" t="n">
        <x:v>0</x:v>
      </x:c>
      <x:c r="I356" s="134" t="n">
        <x:v>0</x:v>
      </x:c>
      <x:c r="J356" s="133" t="n">
        <x:v>0</x:v>
      </x:c>
      <x:c r="K356" s="133" t="n">
        <x:v>0</x:v>
      </x:c>
      <x:c r="L356" s="133" t="n">
        <x:v>0</x:v>
      </x:c>
      <x:c r="M356" s="133" t="n">
        <x:v>0</x:v>
      </x:c>
      <x:c r="N356" s="133" t="n">
        <x:v>0</x:v>
      </x:c>
      <x:c r="O356" s="133" t="n">
        <x:v>0</x:v>
      </x:c>
      <x:c r="P356" s="132"/>
    </x:row>
    <x:row r="357">
      <x:c r="A357" s="136" t="str">
        <x:v>01079979501</x:v>
      </x:c>
      <x:c r="B357" s="132" t="str">
        <x:v>Lawrence County</x:v>
      </x:c>
      <x:c r="C357" s="132" t="n">
        <x:v>0</x:v>
      </x:c>
      <x:c r="D357" s="134" t="n">
        <x:v>2647</x:v>
      </x:c>
      <x:c r="E357" s="133" t="n">
        <x:v>11.6</x:v>
      </x:c>
      <x:c r="F357" s="134" t="n">
        <x:v>1767</x:v>
      </x:c>
      <x:c r="G357" s="134" t="n">
        <x:v>0</x:v>
      </x:c>
      <x:c r="H357" s="134" t="n">
        <x:v>0</x:v>
      </x:c>
      <x:c r="I357" s="134" t="n">
        <x:v>0</x:v>
      </x:c>
      <x:c r="J357" s="133" t="n">
        <x:v>0</x:v>
      </x:c>
      <x:c r="K357" s="133" t="n">
        <x:v>0</x:v>
      </x:c>
      <x:c r="L357" s="133" t="n">
        <x:v>0</x:v>
      </x:c>
      <x:c r="M357" s="133" t="n">
        <x:v>0</x:v>
      </x:c>
      <x:c r="N357" s="133" t="n">
        <x:v>0</x:v>
      </x:c>
      <x:c r="O357" s="133" t="n">
        <x:v>0</x:v>
      </x:c>
      <x:c r="P357" s="132"/>
    </x:row>
    <x:row r="358">
      <x:c r="A358" s="136" t="str">
        <x:v>01079979502</x:v>
      </x:c>
      <x:c r="B358" s="132" t="str">
        <x:v>Lawrence County</x:v>
      </x:c>
      <x:c r="C358" s="132" t="n">
        <x:v>0</x:v>
      </x:c>
      <x:c r="D358" s="134" t="n">
        <x:v>3245</x:v>
      </x:c>
      <x:c r="E358" s="133" t="n">
        <x:v>10.4</x:v>
      </x:c>
      <x:c r="F358" s="134" t="n">
        <x:v>2069</x:v>
      </x:c>
      <x:c r="G358" s="134" t="n">
        <x:v>0</x:v>
      </x:c>
      <x:c r="H358" s="134" t="n">
        <x:v>0</x:v>
      </x:c>
      <x:c r="I358" s="134" t="n">
        <x:v>0</x:v>
      </x:c>
      <x:c r="J358" s="133" t="n">
        <x:v>0</x:v>
      </x:c>
      <x:c r="K358" s="133" t="n">
        <x:v>0</x:v>
      </x:c>
      <x:c r="L358" s="133" t="n">
        <x:v>0</x:v>
      </x:c>
      <x:c r="M358" s="133" t="n">
        <x:v>0</x:v>
      </x:c>
      <x:c r="N358" s="133" t="n">
        <x:v>0</x:v>
      </x:c>
      <x:c r="O358" s="133" t="n">
        <x:v>0</x:v>
      </x:c>
      <x:c r="P358" s="132"/>
    </x:row>
    <x:row r="359">
      <x:c r="A359" s="136" t="str">
        <x:v>01079979600</x:v>
      </x:c>
      <x:c r="B359" s="132" t="str">
        <x:v>Lawrence County</x:v>
      </x:c>
      <x:c r="C359" s="132" t="n">
        <x:v>0</x:v>
      </x:c>
      <x:c r="D359" s="134" t="n">
        <x:v>5409</x:v>
      </x:c>
      <x:c r="E359" s="133" t="n">
        <x:v>11.3</x:v>
      </x:c>
      <x:c r="F359" s="134" t="n">
        <x:v>2852</x:v>
      </x:c>
      <x:c r="G359" s="134" t="n">
        <x:v>0</x:v>
      </x:c>
      <x:c r="H359" s="134" t="n">
        <x:v>0</x:v>
      </x:c>
      <x:c r="I359" s="134" t="n">
        <x:v>0</x:v>
      </x:c>
      <x:c r="J359" s="133" t="n">
        <x:v>0</x:v>
      </x:c>
      <x:c r="K359" s="133" t="n">
        <x:v>0</x:v>
      </x:c>
      <x:c r="L359" s="133" t="n">
        <x:v>0</x:v>
      </x:c>
      <x:c r="M359" s="133" t="n">
        <x:v>0</x:v>
      </x:c>
      <x:c r="N359" s="133" t="n">
        <x:v>0</x:v>
      </x:c>
      <x:c r="O359" s="133" t="n">
        <x:v>0</x:v>
      </x:c>
      <x:c r="P359" s="132"/>
    </x:row>
    <x:row r="360">
      <x:c r="A360" s="136" t="str">
        <x:v>01081040201</x:v>
      </x:c>
      <x:c r="B360" s="132" t="str">
        <x:v>Lee County</x:v>
      </x:c>
      <x:c r="C360" s="132" t="n">
        <x:v>1</x:v>
      </x:c>
      <x:c r="D360" s="134" t="n">
        <x:v>3760</x:v>
      </x:c>
      <x:c r="E360" s="133" t="n">
        <x:v>48.9</x:v>
      </x:c>
      <x:c r="F360" s="134" t="n">
        <x:v>1268</x:v>
      </x:c>
      <x:c r="G360" s="134" t="n">
        <x:v>0</x:v>
      </x:c>
      <x:c r="H360" s="134" t="n">
        <x:v>0</x:v>
      </x:c>
      <x:c r="I360" s="134" t="n">
        <x:v>0</x:v>
      </x:c>
      <x:c r="J360" s="133" t="n">
        <x:v>0</x:v>
      </x:c>
      <x:c r="K360" s="133" t="n">
        <x:v>0</x:v>
      </x:c>
      <x:c r="L360" s="133" t="n">
        <x:v>0</x:v>
      </x:c>
      <x:c r="M360" s="133" t="n">
        <x:v>0</x:v>
      </x:c>
      <x:c r="N360" s="133" t="n">
        <x:v>0</x:v>
      </x:c>
      <x:c r="O360" s="133" t="n">
        <x:v>0</x:v>
      </x:c>
      <x:c r="P360" s="132"/>
    </x:row>
    <x:row r="361">
      <x:c r="A361" s="136" t="str">
        <x:v>01081040801</x:v>
      </x:c>
      <x:c r="B361" s="132" t="str">
        <x:v>Lee County</x:v>
      </x:c>
      <x:c r="C361" s="132" t="n">
        <x:v>1</x:v>
      </x:c>
      <x:c r="D361" s="134" t="n">
        <x:v>2743</x:v>
      </x:c>
      <x:c r="E361" s="133" t="n">
        <x:v>80.2</x:v>
      </x:c>
      <x:c r="F361" s="134" t="n">
        <x:v>219</x:v>
      </x:c>
      <x:c r="G361" s="134" t="n">
        <x:v>0</x:v>
      </x:c>
      <x:c r="H361" s="134" t="n">
        <x:v>0</x:v>
      </x:c>
      <x:c r="I361" s="134" t="n">
        <x:v>0</x:v>
      </x:c>
      <x:c r="J361" s="133" t="n">
        <x:v>0</x:v>
      </x:c>
      <x:c r="K361" s="133" t="n">
        <x:v>0</x:v>
      </x:c>
      <x:c r="L361" s="133" t="n">
        <x:v>0</x:v>
      </x:c>
      <x:c r="M361" s="133" t="n">
        <x:v>0</x:v>
      </x:c>
      <x:c r="N361" s="133" t="n">
        <x:v>0</x:v>
      </x:c>
      <x:c r="O361" s="133" t="n">
        <x:v>0</x:v>
      </x:c>
      <x:c r="P361" s="132"/>
    </x:row>
    <x:row r="362">
      <x:c r="A362" s="136" t="str">
        <x:v>01081040802</x:v>
      </x:c>
      <x:c r="B362" s="132" t="str">
        <x:v>Lee County</x:v>
      </x:c>
      <x:c r="C362" s="132" t="n">
        <x:v>1</x:v>
      </x:c>
      <x:c r="D362" s="134" t="n">
        <x:v>2132</x:v>
      </x:c>
      <x:c r="E362" s="133" t="n">
        <x:v>81.4</x:v>
      </x:c>
      <x:c r="F362" s="134" t="n">
        <x:v>25</x:v>
      </x:c>
      <x:c r="G362" s="134" t="n">
        <x:v>0</x:v>
      </x:c>
      <x:c r="H362" s="134" t="n">
        <x:v>0</x:v>
      </x:c>
      <x:c r="I362" s="134" t="n">
        <x:v>0</x:v>
      </x:c>
      <x:c r="J362" s="133" t="n">
        <x:v>0</x:v>
      </x:c>
      <x:c r="K362" s="133" t="n">
        <x:v>0</x:v>
      </x:c>
      <x:c r="L362" s="133" t="n">
        <x:v>0</x:v>
      </x:c>
      <x:c r="M362" s="133" t="n">
        <x:v>0</x:v>
      </x:c>
      <x:c r="N362" s="133" t="n">
        <x:v>0</x:v>
      </x:c>
      <x:c r="O362" s="133" t="n">
        <x:v>0</x:v>
      </x:c>
      <x:c r="P362" s="132"/>
    </x:row>
    <x:row r="363">
      <x:c r="A363" s="136" t="str">
        <x:v>01081040903</x:v>
      </x:c>
      <x:c r="B363" s="132" t="str">
        <x:v>Lee County</x:v>
      </x:c>
      <x:c r="C363" s="132" t="n">
        <x:v>1</x:v>
      </x:c>
      <x:c r="D363" s="134" t="n">
        <x:v>1961</x:v>
      </x:c>
      <x:c r="E363" s="133" t="n">
        <x:v>46.3</x:v>
      </x:c>
      <x:c r="F363" s="134" t="n">
        <x:v>626</x:v>
      </x:c>
      <x:c r="G363" s="134" t="n">
        <x:v>0</x:v>
      </x:c>
      <x:c r="H363" s="134" t="n">
        <x:v>0</x:v>
      </x:c>
      <x:c r="I363" s="134" t="n">
        <x:v>0</x:v>
      </x:c>
      <x:c r="J363" s="133" t="n">
        <x:v>0</x:v>
      </x:c>
      <x:c r="K363" s="133" t="n">
        <x:v>0</x:v>
      </x:c>
      <x:c r="L363" s="133" t="n">
        <x:v>0</x:v>
      </x:c>
      <x:c r="M363" s="133" t="n">
        <x:v>0</x:v>
      </x:c>
      <x:c r="N363" s="133" t="n">
        <x:v>0</x:v>
      </x:c>
      <x:c r="O363" s="133" t="n">
        <x:v>0</x:v>
      </x:c>
      <x:c r="P363" s="132"/>
    </x:row>
    <x:row r="364">
      <x:c r="A364" s="136" t="str">
        <x:v>01081041104</x:v>
      </x:c>
      <x:c r="B364" s="132" t="str">
        <x:v>Lee County</x:v>
      </x:c>
      <x:c r="C364" s="132" t="n">
        <x:v>0</x:v>
      </x:c>
      <x:c r="D364" s="134" t="n">
        <x:v>3084</x:v>
      </x:c>
      <x:c r="E364" s="133" t="n">
        <x:v>6.9</x:v>
      </x:c>
      <x:c r="F364" s="134" t="n">
        <x:v>3194</x:v>
      </x:c>
      <x:c r="G364" s="134" t="n">
        <x:v>0</x:v>
      </x:c>
      <x:c r="H364" s="134" t="n">
        <x:v>0</x:v>
      </x:c>
      <x:c r="I364" s="134" t="n">
        <x:v>0</x:v>
      </x:c>
      <x:c r="J364" s="133" t="n">
        <x:v>0</x:v>
      </x:c>
      <x:c r="K364" s="133" t="n">
        <x:v>0</x:v>
      </x:c>
      <x:c r="L364" s="133" t="n">
        <x:v>0</x:v>
      </x:c>
      <x:c r="M364" s="133" t="n">
        <x:v>0</x:v>
      </x:c>
      <x:c r="N364" s="133" t="n">
        <x:v>0</x:v>
      </x:c>
      <x:c r="O364" s="133" t="n">
        <x:v>0</x:v>
      </x:c>
      <x:c r="P364" s="132"/>
    </x:row>
    <x:row r="365">
      <x:c r="A365" s="136" t="str">
        <x:v>01081041701</x:v>
      </x:c>
      <x:c r="B365" s="132" t="str">
        <x:v>Lee County</x:v>
      </x:c>
      <x:c r="C365" s="132" t="n">
        <x:v>0</x:v>
      </x:c>
      <x:c r="D365" s="134" t="n">
        <x:v>3293</x:v>
      </x:c>
      <x:c r="E365" s="133" t="n">
        <x:v>6.5</x:v>
      </x:c>
      <x:c r="F365" s="134" t="n">
        <x:v>2343</x:v>
      </x:c>
      <x:c r="G365" s="134" t="n">
        <x:v>0</x:v>
      </x:c>
      <x:c r="H365" s="134" t="n">
        <x:v>0</x:v>
      </x:c>
      <x:c r="I365" s="134" t="n">
        <x:v>0</x:v>
      </x:c>
      <x:c r="J365" s="133" t="n">
        <x:v>0</x:v>
      </x:c>
      <x:c r="K365" s="133" t="n">
        <x:v>0</x:v>
      </x:c>
      <x:c r="L365" s="133" t="n">
        <x:v>0</x:v>
      </x:c>
      <x:c r="M365" s="133" t="n">
        <x:v>0</x:v>
      </x:c>
      <x:c r="N365" s="133" t="n">
        <x:v>0</x:v>
      </x:c>
      <x:c r="O365" s="133" t="n">
        <x:v>0</x:v>
      </x:c>
      <x:c r="P365" s="132"/>
    </x:row>
    <x:row r="366">
      <x:c r="A366" s="136" t="str">
        <x:v>01081041702</x:v>
      </x:c>
      <x:c r="B366" s="132" t="str">
        <x:v>Lee County</x:v>
      </x:c>
      <x:c r="C366" s="132" t="n">
        <x:v>0</x:v>
      </x:c>
      <x:c r="D366" s="134" t="n">
        <x:v>2869</x:v>
      </x:c>
      <x:c r="E366" s="133" t="n">
        <x:v>18.8</x:v>
      </x:c>
      <x:c r="F366" s="134" t="n">
        <x:v>1302</x:v>
      </x:c>
      <x:c r="G366" s="134" t="n">
        <x:v>0</x:v>
      </x:c>
      <x:c r="H366" s="134" t="n">
        <x:v>0</x:v>
      </x:c>
      <x:c r="I366" s="134" t="n">
        <x:v>0</x:v>
      </x:c>
      <x:c r="J366" s="133" t="n">
        <x:v>0</x:v>
      </x:c>
      <x:c r="K366" s="133" t="n">
        <x:v>0</x:v>
      </x:c>
      <x:c r="L366" s="133" t="n">
        <x:v>0</x:v>
      </x:c>
      <x:c r="M366" s="133" t="n">
        <x:v>0</x:v>
      </x:c>
      <x:c r="N366" s="133" t="n">
        <x:v>0</x:v>
      </x:c>
      <x:c r="O366" s="133" t="n">
        <x:v>0</x:v>
      </x:c>
      <x:c r="P366" s="132"/>
    </x:row>
    <x:row r="367">
      <x:c r="A367" s="136" t="str">
        <x:v>01081041703</x:v>
      </x:c>
      <x:c r="B367" s="132" t="str">
        <x:v>Lee County</x:v>
      </x:c>
      <x:c r="C367" s="132" t="n">
        <x:v>0</x:v>
      </x:c>
      <x:c r="D367" s="134" t="n">
        <x:v>5114</x:v>
      </x:c>
      <x:c r="E367" s="133" t="n">
        <x:v>10.4</x:v>
      </x:c>
      <x:c r="F367" s="134" t="n">
        <x:v>4248</x:v>
      </x:c>
      <x:c r="G367" s="134" t="n">
        <x:v>0</x:v>
      </x:c>
      <x:c r="H367" s="134" t="n">
        <x:v>0</x:v>
      </x:c>
      <x:c r="I367" s="134" t="n">
        <x:v>0</x:v>
      </x:c>
      <x:c r="J367" s="133" t="n">
        <x:v>0</x:v>
      </x:c>
      <x:c r="K367" s="133" t="n">
        <x:v>0</x:v>
      </x:c>
      <x:c r="L367" s="133" t="n">
        <x:v>0</x:v>
      </x:c>
      <x:c r="M367" s="133" t="n">
        <x:v>0</x:v>
      </x:c>
      <x:c r="N367" s="133"/>
      <x:c r="O367" s="133" t="n">
        <x:v>0</x:v>
      </x:c>
      <x:c r="P367" s="132"/>
    </x:row>
    <x:row r="368">
      <x:c r="A368" s="136" t="str">
        <x:v>01081041801</x:v>
      </x:c>
      <x:c r="B368" s="132" t="str">
        <x:v>Lee County</x:v>
      </x:c>
      <x:c r="C368" s="132" t="n">
        <x:v>0</x:v>
      </x:c>
      <x:c r="D368" s="134" t="n">
        <x:v>2618</x:v>
      </x:c>
      <x:c r="E368" s="133" t="n">
        <x:v>9.9</x:v>
      </x:c>
      <x:c r="F368" s="134" t="n">
        <x:v>1850</x:v>
      </x:c>
      <x:c r="G368" s="134" t="n">
        <x:v>0</x:v>
      </x:c>
      <x:c r="H368" s="134" t="n">
        <x:v>0</x:v>
      </x:c>
      <x:c r="I368" s="134" t="n">
        <x:v>0</x:v>
      </x:c>
      <x:c r="J368" s="133" t="n">
        <x:v>0</x:v>
      </x:c>
      <x:c r="K368" s="133" t="n">
        <x:v>0</x:v>
      </x:c>
      <x:c r="L368" s="133" t="n">
        <x:v>0</x:v>
      </x:c>
      <x:c r="M368" s="133" t="n">
        <x:v>0</x:v>
      </x:c>
      <x:c r="N368" s="133" t="n">
        <x:v>0</x:v>
      </x:c>
      <x:c r="O368" s="133" t="n">
        <x:v>0</x:v>
      </x:c>
      <x:c r="P368" s="132"/>
    </x:row>
    <x:row r="369">
      <x:c r="A369" s="136" t="str">
        <x:v>01081041802</x:v>
      </x:c>
      <x:c r="B369" s="132" t="str">
        <x:v>Lee County</x:v>
      </x:c>
      <x:c r="C369" s="132" t="n">
        <x:v>0</x:v>
      </x:c>
      <x:c r="D369" s="134" t="n">
        <x:v>2764</x:v>
      </x:c>
      <x:c r="E369" s="133" t="n">
        <x:v>12.8</x:v>
      </x:c>
      <x:c r="F369" s="134" t="n">
        <x:v>1626</x:v>
      </x:c>
      <x:c r="G369" s="134" t="n">
        <x:v>0</x:v>
      </x:c>
      <x:c r="H369" s="134" t="n">
        <x:v>0</x:v>
      </x:c>
      <x:c r="I369" s="134" t="n">
        <x:v>0</x:v>
      </x:c>
      <x:c r="J369" s="133" t="n">
        <x:v>0</x:v>
      </x:c>
      <x:c r="K369" s="133" t="n">
        <x:v>0</x:v>
      </x:c>
      <x:c r="L369" s="133" t="n">
        <x:v>0</x:v>
      </x:c>
      <x:c r="M369" s="133" t="n">
        <x:v>0</x:v>
      </x:c>
      <x:c r="N369" s="133" t="n">
        <x:v>0</x:v>
      </x:c>
      <x:c r="O369" s="133" t="n">
        <x:v>0</x:v>
      </x:c>
      <x:c r="P369" s="132"/>
    </x:row>
    <x:row r="370">
      <x:c r="A370" s="136" t="str">
        <x:v>01081041901</x:v>
      </x:c>
      <x:c r="B370" s="132" t="str">
        <x:v>Lee County</x:v>
      </x:c>
      <x:c r="C370" s="132" t="n">
        <x:v>0</x:v>
      </x:c>
      <x:c r="D370" s="134" t="n">
        <x:v>2299</x:v>
      </x:c>
      <x:c r="E370" s="133" t="n">
        <x:v>6</x:v>
      </x:c>
      <x:c r="F370" s="134" t="n">
        <x:v>2520</x:v>
      </x:c>
      <x:c r="G370" s="134" t="n">
        <x:v>0</x:v>
      </x:c>
      <x:c r="H370" s="134" t="n">
        <x:v>0</x:v>
      </x:c>
      <x:c r="I370" s="134" t="n">
        <x:v>0</x:v>
      </x:c>
      <x:c r="J370" s="133" t="n">
        <x:v>0</x:v>
      </x:c>
      <x:c r="K370" s="133" t="n">
        <x:v>0</x:v>
      </x:c>
      <x:c r="L370" s="133" t="n">
        <x:v>0</x:v>
      </x:c>
      <x:c r="M370" s="133" t="n">
        <x:v>0</x:v>
      </x:c>
      <x:c r="N370" s="133"/>
      <x:c r="O370" s="133" t="n">
        <x:v>0</x:v>
      </x:c>
      <x:c r="P370" s="132"/>
    </x:row>
    <x:row r="371">
      <x:c r="A371" s="136" t="str">
        <x:v>01081041902</x:v>
      </x:c>
      <x:c r="B371" s="132" t="str">
        <x:v>Lee County</x:v>
      </x:c>
      <x:c r="C371" s="132" t="n">
        <x:v>0</x:v>
      </x:c>
      <x:c r="D371" s="134" t="n">
        <x:v>3513</x:v>
      </x:c>
      <x:c r="E371" s="133" t="n">
        <x:v>8.3</x:v>
      </x:c>
      <x:c r="F371" s="134" t="n">
        <x:v>2893</x:v>
      </x:c>
      <x:c r="G371" s="134" t="n">
        <x:v>0</x:v>
      </x:c>
      <x:c r="H371" s="134" t="n">
        <x:v>0</x:v>
      </x:c>
      <x:c r="I371" s="134" t="n">
        <x:v>0</x:v>
      </x:c>
      <x:c r="J371" s="133" t="n">
        <x:v>0</x:v>
      </x:c>
      <x:c r="K371" s="133" t="n">
        <x:v>0</x:v>
      </x:c>
      <x:c r="L371" s="133" t="n">
        <x:v>0</x:v>
      </x:c>
      <x:c r="M371" s="133" t="n">
        <x:v>0</x:v>
      </x:c>
      <x:c r="N371" s="133" t="n">
        <x:v>0</x:v>
      </x:c>
      <x:c r="O371" s="133" t="n">
        <x:v>0</x:v>
      </x:c>
      <x:c r="P371" s="132"/>
    </x:row>
    <x:row r="372">
      <x:c r="A372" s="136" t="str">
        <x:v>01081041903</x:v>
      </x:c>
      <x:c r="B372" s="132" t="str">
        <x:v>Lee County</x:v>
      </x:c>
      <x:c r="C372" s="132" t="n">
        <x:v>0</x:v>
      </x:c>
      <x:c r="D372" s="134" t="n">
        <x:v>3585</x:v>
      </x:c>
      <x:c r="E372" s="133" t="n">
        <x:v>4.4</x:v>
      </x:c>
      <x:c r="F372" s="134" t="n">
        <x:v>2341</x:v>
      </x:c>
      <x:c r="G372" s="134" t="n">
        <x:v>0</x:v>
      </x:c>
      <x:c r="H372" s="134" t="n">
        <x:v>0</x:v>
      </x:c>
      <x:c r="I372" s="134" t="n">
        <x:v>0</x:v>
      </x:c>
      <x:c r="J372" s="133" t="n">
        <x:v>0</x:v>
      </x:c>
      <x:c r="K372" s="133" t="n">
        <x:v>0</x:v>
      </x:c>
      <x:c r="L372" s="133" t="n">
        <x:v>0</x:v>
      </x:c>
      <x:c r="M372" s="133" t="n">
        <x:v>0</x:v>
      </x:c>
      <x:c r="N372" s="133" t="n">
        <x:v>0</x:v>
      </x:c>
      <x:c r="O372" s="133" t="n">
        <x:v>0</x:v>
      </x:c>
      <x:c r="P372" s="132"/>
    </x:row>
    <x:row r="373">
      <x:c r="A373" s="136" t="str">
        <x:v>01081042003</x:v>
      </x:c>
      <x:c r="B373" s="132" t="str">
        <x:v>Lee County</x:v>
      </x:c>
      <x:c r="C373" s="132" t="n">
        <x:v>0</x:v>
      </x:c>
      <x:c r="D373" s="134" t="n">
        <x:v>3507</x:v>
      </x:c>
      <x:c r="E373" s="133" t="n">
        <x:v>15.2</x:v>
      </x:c>
      <x:c r="F373" s="134" t="n">
        <x:v>2360</x:v>
      </x:c>
      <x:c r="G373" s="134" t="n">
        <x:v>0</x:v>
      </x:c>
      <x:c r="H373" s="134" t="n">
        <x:v>0</x:v>
      </x:c>
      <x:c r="I373" s="134" t="n">
        <x:v>0</x:v>
      </x:c>
      <x:c r="J373" s="133" t="n">
        <x:v>0</x:v>
      </x:c>
      <x:c r="K373" s="133" t="n">
        <x:v>0</x:v>
      </x:c>
      <x:c r="L373" s="133" t="n">
        <x:v>0</x:v>
      </x:c>
      <x:c r="M373" s="133" t="n">
        <x:v>0</x:v>
      </x:c>
      <x:c r="N373" s="133" t="n">
        <x:v>0</x:v>
      </x:c>
      <x:c r="O373" s="133" t="n">
        <x:v>0</x:v>
      </x:c>
      <x:c r="P373" s="132"/>
    </x:row>
    <x:row r="374">
      <x:c r="A374" s="136" t="str">
        <x:v>01081042101</x:v>
      </x:c>
      <x:c r="B374" s="132" t="str">
        <x:v>Lee County</x:v>
      </x:c>
      <x:c r="C374" s="132" t="n">
        <x:v>0</x:v>
      </x:c>
      <x:c r="D374" s="134" t="n">
        <x:v>3993</x:v>
      </x:c>
      <x:c r="E374" s="133" t="n">
        <x:v>27.5</x:v>
      </x:c>
      <x:c r="F374" s="134" t="n">
        <x:v>2614</x:v>
      </x:c>
      <x:c r="G374" s="134" t="n">
        <x:v>0</x:v>
      </x:c>
      <x:c r="H374" s="134" t="n">
        <x:v>0</x:v>
      </x:c>
      <x:c r="I374" s="134" t="n">
        <x:v>0</x:v>
      </x:c>
      <x:c r="J374" s="133" t="n">
        <x:v>0</x:v>
      </x:c>
      <x:c r="K374" s="133" t="n">
        <x:v>0</x:v>
      </x:c>
      <x:c r="L374" s="133" t="n">
        <x:v>0</x:v>
      </x:c>
      <x:c r="M374" s="133" t="n">
        <x:v>0</x:v>
      </x:c>
      <x:c r="N374" s="133" t="n">
        <x:v>0</x:v>
      </x:c>
      <x:c r="O374" s="133" t="n">
        <x:v>0</x:v>
      </x:c>
      <x:c r="P374" s="132"/>
    </x:row>
    <x:row r="375">
      <x:c r="A375" s="136" t="str">
        <x:v>01081042103</x:v>
      </x:c>
      <x:c r="B375" s="132" t="str">
        <x:v>Lee County</x:v>
      </x:c>
      <x:c r="C375" s="132" t="n">
        <x:v>0</x:v>
      </x:c>
      <x:c r="D375" s="134" t="n">
        <x:v>2366</x:v>
      </x:c>
      <x:c r="E375" s="133" t="n">
        <x:v>18.4</x:v>
      </x:c>
      <x:c r="F375" s="134" t="n">
        <x:v>1289</x:v>
      </x:c>
      <x:c r="G375" s="134" t="n">
        <x:v>0</x:v>
      </x:c>
      <x:c r="H375" s="134" t="n">
        <x:v>0</x:v>
      </x:c>
      <x:c r="I375" s="134" t="n">
        <x:v>0</x:v>
      </x:c>
      <x:c r="J375" s="133" t="n">
        <x:v>0</x:v>
      </x:c>
      <x:c r="K375" s="133" t="n">
        <x:v>0</x:v>
      </x:c>
      <x:c r="L375" s="133" t="n">
        <x:v>0</x:v>
      </x:c>
      <x:c r="M375" s="133" t="n">
        <x:v>0</x:v>
      </x:c>
      <x:c r="N375" s="133" t="n">
        <x:v>0</x:v>
      </x:c>
      <x:c r="O375" s="133" t="n">
        <x:v>0</x:v>
      </x:c>
      <x:c r="P375" s="132"/>
    </x:row>
    <x:row r="376">
      <x:c r="A376" s="136" t="str">
        <x:v>01081042104</x:v>
      </x:c>
      <x:c r="B376" s="132" t="str">
        <x:v>Lee County</x:v>
      </x:c>
      <x:c r="C376" s="132" t="n">
        <x:v>0</x:v>
      </x:c>
      <x:c r="D376" s="134" t="n">
        <x:v>6246</x:v>
      </x:c>
      <x:c r="E376" s="133" t="n">
        <x:v>5.8</x:v>
      </x:c>
      <x:c r="F376" s="134" t="n">
        <x:v>5030</x:v>
      </x:c>
      <x:c r="G376" s="134" t="n">
        <x:v>0</x:v>
      </x:c>
      <x:c r="H376" s="134" t="n">
        <x:v>0</x:v>
      </x:c>
      <x:c r="I376" s="134" t="n">
        <x:v>0</x:v>
      </x:c>
      <x:c r="J376" s="133" t="n">
        <x:v>0</x:v>
      </x:c>
      <x:c r="K376" s="133" t="n">
        <x:v>0</x:v>
      </x:c>
      <x:c r="L376" s="133" t="n">
        <x:v>0</x:v>
      </x:c>
      <x:c r="M376" s="133" t="n">
        <x:v>0</x:v>
      </x:c>
      <x:c r="N376" s="133" t="n">
        <x:v>0</x:v>
      </x:c>
      <x:c r="O376" s="133" t="n">
        <x:v>0</x:v>
      </x:c>
      <x:c r="P376" s="132"/>
    </x:row>
    <x:row r="377">
      <x:c r="A377" s="136" t="str">
        <x:v>01083020101</x:v>
      </x:c>
      <x:c r="B377" s="132" t="str">
        <x:v>Limestone County</x:v>
      </x:c>
      <x:c r="C377" s="132" t="n">
        <x:v>0</x:v>
      </x:c>
      <x:c r="D377" s="134" t="n">
        <x:v>4452</x:v>
      </x:c>
      <x:c r="E377" s="133" t="n">
        <x:v>5</x:v>
      </x:c>
      <x:c r="F377" s="134" t="n">
        <x:v>3543</x:v>
      </x:c>
      <x:c r="G377" s="134" t="n">
        <x:v>0</x:v>
      </x:c>
      <x:c r="H377" s="134" t="n">
        <x:v>0</x:v>
      </x:c>
      <x:c r="I377" s="134" t="n">
        <x:v>0</x:v>
      </x:c>
      <x:c r="J377" s="133" t="n">
        <x:v>0</x:v>
      </x:c>
      <x:c r="K377" s="133" t="n">
        <x:v>0</x:v>
      </x:c>
      <x:c r="L377" s="133" t="n">
        <x:v>0</x:v>
      </x:c>
      <x:c r="M377" s="133" t="n">
        <x:v>0</x:v>
      </x:c>
      <x:c r="N377" s="133" t="n">
        <x:v>0</x:v>
      </x:c>
      <x:c r="O377" s="133" t="n">
        <x:v>0</x:v>
      </x:c>
      <x:c r="P377" s="132"/>
    </x:row>
    <x:row r="378">
      <x:c r="A378" s="136" t="str">
        <x:v>01083020103</x:v>
      </x:c>
      <x:c r="B378" s="132" t="str">
        <x:v>Limestone County</x:v>
      </x:c>
      <x:c r="C378" s="132" t="n">
        <x:v>0</x:v>
      </x:c>
      <x:c r="D378" s="134" t="n">
        <x:v>3115</x:v>
      </x:c>
      <x:c r="E378" s="133" t="n">
        <x:v>8.8</x:v>
      </x:c>
      <x:c r="F378" s="134" t="n">
        <x:v>2509</x:v>
      </x:c>
      <x:c r="G378" s="134" t="n">
        <x:v>0</x:v>
      </x:c>
      <x:c r="H378" s="134" t="n">
        <x:v>0</x:v>
      </x:c>
      <x:c r="I378" s="134" t="n">
        <x:v>0</x:v>
      </x:c>
      <x:c r="J378" s="133" t="n">
        <x:v>0</x:v>
      </x:c>
      <x:c r="K378" s="133" t="n">
        <x:v>0</x:v>
      </x:c>
      <x:c r="L378" s="133" t="n">
        <x:v>0</x:v>
      </x:c>
      <x:c r="M378" s="133" t="n">
        <x:v>0</x:v>
      </x:c>
      <x:c r="N378" s="133" t="n">
        <x:v>0</x:v>
      </x:c>
      <x:c r="O378" s="133" t="n">
        <x:v>0</x:v>
      </x:c>
      <x:c r="P378" s="132"/>
    </x:row>
    <x:row r="379">
      <x:c r="A379" s="136" t="str">
        <x:v>01083020104</x:v>
      </x:c>
      <x:c r="B379" s="132" t="str">
        <x:v>Limestone County</x:v>
      </x:c>
      <x:c r="C379" s="132" t="n">
        <x:v>0</x:v>
      </x:c>
      <x:c r="D379" s="134" t="n">
        <x:v>4037</x:v>
      </x:c>
      <x:c r="E379" s="133" t="n">
        <x:v>11.1</x:v>
      </x:c>
      <x:c r="F379" s="134" t="n">
        <x:v>2455</x:v>
      </x:c>
      <x:c r="G379" s="134" t="n">
        <x:v>0</x:v>
      </x:c>
      <x:c r="H379" s="134" t="n">
        <x:v>0</x:v>
      </x:c>
      <x:c r="I379" s="134" t="n">
        <x:v>0</x:v>
      </x:c>
      <x:c r="J379" s="133" t="n">
        <x:v>0</x:v>
      </x:c>
      <x:c r="K379" s="133" t="n">
        <x:v>0</x:v>
      </x:c>
      <x:c r="L379" s="133" t="n">
        <x:v>0</x:v>
      </x:c>
      <x:c r="M379" s="133" t="n">
        <x:v>0</x:v>
      </x:c>
      <x:c r="N379" s="133" t="n">
        <x:v>0</x:v>
      </x:c>
      <x:c r="O379" s="133" t="n">
        <x:v>0</x:v>
      </x:c>
      <x:c r="P379" s="132"/>
    </x:row>
    <x:row r="380">
      <x:c r="A380" s="136" t="str">
        <x:v>01083020201</x:v>
      </x:c>
      <x:c r="B380" s="132" t="str">
        <x:v>Limestone County</x:v>
      </x:c>
      <x:c r="C380" s="132" t="n">
        <x:v>0</x:v>
      </x:c>
      <x:c r="D380" s="134" t="n">
        <x:v>5043</x:v>
      </x:c>
      <x:c r="E380" s="133" t="n">
        <x:v>9.9</x:v>
      </x:c>
      <x:c r="F380" s="134" t="n">
        <x:v>3383</x:v>
      </x:c>
      <x:c r="G380" s="134" t="n">
        <x:v>0</x:v>
      </x:c>
      <x:c r="H380" s="134" t="n">
        <x:v>0</x:v>
      </x:c>
      <x:c r="I380" s="134" t="n">
        <x:v>0</x:v>
      </x:c>
      <x:c r="J380" s="133" t="n">
        <x:v>0</x:v>
      </x:c>
      <x:c r="K380" s="133" t="n">
        <x:v>0</x:v>
      </x:c>
      <x:c r="L380" s="133" t="n">
        <x:v>0</x:v>
      </x:c>
      <x:c r="M380" s="133" t="n">
        <x:v>0</x:v>
      </x:c>
      <x:c r="N380" s="133" t="n">
        <x:v>0</x:v>
      </x:c>
      <x:c r="O380" s="133" t="n">
        <x:v>0</x:v>
      </x:c>
      <x:c r="P380" s="132"/>
    </x:row>
    <x:row r="381">
      <x:c r="A381" s="136" t="str">
        <x:v>01083020202</x:v>
      </x:c>
      <x:c r="B381" s="132" t="str">
        <x:v>Limestone County</x:v>
      </x:c>
      <x:c r="C381" s="132" t="n">
        <x:v>0</x:v>
      </x:c>
      <x:c r="D381" s="134" t="n">
        <x:v>5219</x:v>
      </x:c>
      <x:c r="E381" s="133" t="n">
        <x:v>14.1</x:v>
      </x:c>
      <x:c r="F381" s="134" t="n">
        <x:v>4138</x:v>
      </x:c>
      <x:c r="G381" s="134" t="n">
        <x:v>0</x:v>
      </x:c>
      <x:c r="H381" s="134" t="n">
        <x:v>0</x:v>
      </x:c>
      <x:c r="I381" s="134" t="n">
        <x:v>0</x:v>
      </x:c>
      <x:c r="J381" s="133" t="n">
        <x:v>0</x:v>
      </x:c>
      <x:c r="K381" s="133" t="n">
        <x:v>0</x:v>
      </x:c>
      <x:c r="L381" s="133" t="n">
        <x:v>0</x:v>
      </x:c>
      <x:c r="M381" s="133" t="n">
        <x:v>0</x:v>
      </x:c>
      <x:c r="N381" s="133" t="n">
        <x:v>0</x:v>
      </x:c>
      <x:c r="O381" s="133" t="n">
        <x:v>0</x:v>
      </x:c>
      <x:c r="P381" s="132"/>
    </x:row>
    <x:row r="382">
      <x:c r="A382" s="136" t="str">
        <x:v>01083020402</x:v>
      </x:c>
      <x:c r="B382" s="132" t="str">
        <x:v>Limestone County</x:v>
      </x:c>
      <x:c r="C382" s="132" t="n">
        <x:v>0</x:v>
      </x:c>
      <x:c r="D382" s="134" t="n">
        <x:v>5798</x:v>
      </x:c>
      <x:c r="E382" s="133" t="n">
        <x:v>14.9</x:v>
      </x:c>
      <x:c r="F382" s="134" t="n">
        <x:v>4187</x:v>
      </x:c>
      <x:c r="G382" s="134" t="n">
        <x:v>0</x:v>
      </x:c>
      <x:c r="H382" s="134" t="n">
        <x:v>0</x:v>
      </x:c>
      <x:c r="I382" s="134" t="n">
        <x:v>0</x:v>
      </x:c>
      <x:c r="J382" s="133" t="n">
        <x:v>0</x:v>
      </x:c>
      <x:c r="K382" s="133" t="n">
        <x:v>0</x:v>
      </x:c>
      <x:c r="L382" s="133" t="n">
        <x:v>0</x:v>
      </x:c>
      <x:c r="M382" s="133" t="n">
        <x:v>0</x:v>
      </x:c>
      <x:c r="N382" s="133" t="n">
        <x:v>0</x:v>
      </x:c>
      <x:c r="O382" s="133" t="n">
        <x:v>0</x:v>
      </x:c>
      <x:c r="P382" s="132"/>
    </x:row>
    <x:row r="383">
      <x:c r="A383" s="136" t="str">
        <x:v>01083020803</x:v>
      </x:c>
      <x:c r="B383" s="132" t="str">
        <x:v>Limestone County</x:v>
      </x:c>
      <x:c r="C383" s="132" t="n">
        <x:v>0</x:v>
      </x:c>
      <x:c r="D383" s="134" t="n">
        <x:v>6099</x:v>
      </x:c>
      <x:c r="E383" s="133" t="n">
        <x:v>3.5</x:v>
      </x:c>
      <x:c r="F383" s="134" t="n">
        <x:v>5557</x:v>
      </x:c>
      <x:c r="G383" s="134" t="n">
        <x:v>0</x:v>
      </x:c>
      <x:c r="H383" s="134" t="n">
        <x:v>0</x:v>
      </x:c>
      <x:c r="I383" s="134" t="n">
        <x:v>0</x:v>
      </x:c>
      <x:c r="J383" s="133" t="n">
        <x:v>0</x:v>
      </x:c>
      <x:c r="K383" s="133" t="n">
        <x:v>0</x:v>
      </x:c>
      <x:c r="L383" s="133" t="n">
        <x:v>0</x:v>
      </x:c>
      <x:c r="M383" s="133" t="n">
        <x:v>0</x:v>
      </x:c>
      <x:c r="N383" s="133"/>
      <x:c r="O383" s="133" t="n">
        <x:v>0</x:v>
      </x:c>
      <x:c r="P383" s="132"/>
    </x:row>
    <x:row r="384">
      <x:c r="A384" s="136" t="str">
        <x:v>01083020804</x:v>
      </x:c>
      <x:c r="B384" s="132" t="str">
        <x:v>Limestone County</x:v>
      </x:c>
      <x:c r="C384" s="132" t="n">
        <x:v>0</x:v>
      </x:c>
      <x:c r="D384" s="134" t="n">
        <x:v>5428</x:v>
      </x:c>
      <x:c r="E384" s="133" t="n">
        <x:v>7</x:v>
      </x:c>
      <x:c r="F384" s="134" t="n">
        <x:v>4650</x:v>
      </x:c>
      <x:c r="G384" s="134" t="n">
        <x:v>0</x:v>
      </x:c>
      <x:c r="H384" s="134" t="n">
        <x:v>0</x:v>
      </x:c>
      <x:c r="I384" s="134" t="n">
        <x:v>0</x:v>
      </x:c>
      <x:c r="J384" s="133" t="n">
        <x:v>0</x:v>
      </x:c>
      <x:c r="K384" s="133" t="n">
        <x:v>0</x:v>
      </x:c>
      <x:c r="L384" s="133" t="n">
        <x:v>0</x:v>
      </x:c>
      <x:c r="M384" s="133" t="n">
        <x:v>0</x:v>
      </x:c>
      <x:c r="N384" s="133" t="n">
        <x:v>0</x:v>
      </x:c>
      <x:c r="O384" s="133" t="n">
        <x:v>0</x:v>
      </x:c>
      <x:c r="P384" s="132"/>
    </x:row>
    <x:row r="385">
      <x:c r="A385" s="136" t="str">
        <x:v>01083020805</x:v>
      </x:c>
      <x:c r="B385" s="132" t="str">
        <x:v>Limestone County</x:v>
      </x:c>
      <x:c r="C385" s="132" t="n">
        <x:v>0</x:v>
      </x:c>
      <x:c r="D385" s="134" t="n">
        <x:v>5310</x:v>
      </x:c>
      <x:c r="E385" s="133" t="n">
        <x:v>6.1</x:v>
      </x:c>
      <x:c r="F385" s="134" t="n">
        <x:v>2409</x:v>
      </x:c>
      <x:c r="G385" s="134" t="n">
        <x:v>0</x:v>
      </x:c>
      <x:c r="H385" s="134" t="n">
        <x:v>0</x:v>
      </x:c>
      <x:c r="I385" s="134" t="n">
        <x:v>0</x:v>
      </x:c>
      <x:c r="J385" s="133" t="n">
        <x:v>0</x:v>
      </x:c>
      <x:c r="K385" s="133" t="n">
        <x:v>0</x:v>
      </x:c>
      <x:c r="L385" s="133" t="n">
        <x:v>0</x:v>
      </x:c>
      <x:c r="M385" s="133" t="n">
        <x:v>0</x:v>
      </x:c>
      <x:c r="N385" s="133"/>
      <x:c r="O385" s="133" t="n">
        <x:v>0</x:v>
      </x:c>
      <x:c r="P385" s="132"/>
    </x:row>
    <x:row r="386">
      <x:c r="A386" s="136" t="str">
        <x:v>01083020806</x:v>
      </x:c>
      <x:c r="B386" s="132" t="str">
        <x:v>Limestone County</x:v>
      </x:c>
      <x:c r="C386" s="132" t="n">
        <x:v>0</x:v>
      </x:c>
      <x:c r="D386" s="134" t="n">
        <x:v>3944</x:v>
      </x:c>
      <x:c r="E386" s="133" t="n">
        <x:v>5.4</x:v>
      </x:c>
      <x:c r="F386" s="134" t="n">
        <x:v>3754</x:v>
      </x:c>
      <x:c r="G386" s="134" t="n">
        <x:v>0</x:v>
      </x:c>
      <x:c r="H386" s="134" t="n">
        <x:v>0</x:v>
      </x:c>
      <x:c r="I386" s="134" t="n">
        <x:v>0</x:v>
      </x:c>
      <x:c r="J386" s="133" t="n">
        <x:v>0</x:v>
      </x:c>
      <x:c r="K386" s="133" t="n">
        <x:v>0</x:v>
      </x:c>
      <x:c r="L386" s="133" t="n">
        <x:v>0</x:v>
      </x:c>
      <x:c r="M386" s="133" t="n">
        <x:v>0</x:v>
      </x:c>
      <x:c r="N386" s="133" t="n">
        <x:v>0</x:v>
      </x:c>
      <x:c r="O386" s="133" t="n">
        <x:v>0</x:v>
      </x:c>
      <x:c r="P386" s="132"/>
    </x:row>
    <x:row r="387">
      <x:c r="A387" s="136" t="str">
        <x:v>01083021102</x:v>
      </x:c>
      <x:c r="B387" s="132" t="str">
        <x:v>Limestone County</x:v>
      </x:c>
      <x:c r="C387" s="132" t="n">
        <x:v>0</x:v>
      </x:c>
      <x:c r="D387" s="134" t="n">
        <x:v>3899</x:v>
      </x:c>
      <x:c r="E387" s="133" t="n">
        <x:v>8.3</x:v>
      </x:c>
      <x:c r="F387" s="134" t="n">
        <x:v>3367</x:v>
      </x:c>
      <x:c r="G387" s="134" t="n">
        <x:v>0</x:v>
      </x:c>
      <x:c r="H387" s="134" t="n">
        <x:v>0</x:v>
      </x:c>
      <x:c r="I387" s="134" t="n">
        <x:v>0</x:v>
      </x:c>
      <x:c r="J387" s="133" t="n">
        <x:v>0</x:v>
      </x:c>
      <x:c r="K387" s="133" t="n">
        <x:v>0</x:v>
      </x:c>
      <x:c r="L387" s="133" t="n">
        <x:v>0</x:v>
      </x:c>
      <x:c r="M387" s="133" t="n">
        <x:v>0</x:v>
      </x:c>
      <x:c r="N387" s="133" t="n">
        <x:v>0</x:v>
      </x:c>
      <x:c r="O387" s="133" t="n">
        <x:v>0</x:v>
      </x:c>
      <x:c r="P387" s="132"/>
    </x:row>
    <x:row r="388">
      <x:c r="A388" s="136" t="str">
        <x:v>01085780800</x:v>
      </x:c>
      <x:c r="B388" s="132" t="str">
        <x:v>Lowndes County</x:v>
      </x:c>
      <x:c r="C388" s="132" t="n">
        <x:v>0</x:v>
      </x:c>
      <x:c r="D388" s="134" t="n">
        <x:v>3359</x:v>
      </x:c>
      <x:c r="E388" s="133" t="n">
        <x:v>14.9</x:v>
      </x:c>
      <x:c r="F388" s="134" t="n">
        <x:v>1521</x:v>
      </x:c>
      <x:c r="G388" s="134" t="n">
        <x:v>0</x:v>
      </x:c>
      <x:c r="H388" s="134" t="n">
        <x:v>0</x:v>
      </x:c>
      <x:c r="I388" s="134" t="n">
        <x:v>0</x:v>
      </x:c>
      <x:c r="J388" s="133" t="n">
        <x:v>0</x:v>
      </x:c>
      <x:c r="K388" s="133" t="n">
        <x:v>0</x:v>
      </x:c>
      <x:c r="L388" s="133" t="n">
        <x:v>0</x:v>
      </x:c>
      <x:c r="M388" s="133" t="n">
        <x:v>0</x:v>
      </x:c>
      <x:c r="N388" s="133" t="n">
        <x:v>0</x:v>
      </x:c>
      <x:c r="O388" s="133" t="n">
        <x:v>0</x:v>
      </x:c>
      <x:c r="P388" s="132"/>
    </x:row>
    <x:row r="389">
      <x:c r="A389" s="136" t="str">
        <x:v>01087231601</x:v>
      </x:c>
      <x:c r="B389" s="132" t="str">
        <x:v>Macon County</x:v>
      </x:c>
      <x:c r="C389" s="132" t="n">
        <x:v>0</x:v>
      </x:c>
      <x:c r="D389" s="134" t="n">
        <x:v>1132</x:v>
      </x:c>
      <x:c r="E389" s="133" t="n">
        <x:v>21.6</x:v>
      </x:c>
      <x:c r="F389" s="134" t="n">
        <x:v>674</x:v>
      </x:c>
      <x:c r="G389" s="134" t="n">
        <x:v>0</x:v>
      </x:c>
      <x:c r="H389" s="134" t="n">
        <x:v>0</x:v>
      </x:c>
      <x:c r="I389" s="134" t="n">
        <x:v>0</x:v>
      </x:c>
      <x:c r="J389" s="133" t="n">
        <x:v>0</x:v>
      </x:c>
      <x:c r="K389" s="133" t="n">
        <x:v>0</x:v>
      </x:c>
      <x:c r="L389" s="133" t="n">
        <x:v>0</x:v>
      </x:c>
      <x:c r="M389" s="133" t="n">
        <x:v>0</x:v>
      </x:c>
      <x:c r="N389" s="133" t="n">
        <x:v>0</x:v>
      </x:c>
      <x:c r="O389" s="133" t="n">
        <x:v>0</x:v>
      </x:c>
      <x:c r="P389" s="132"/>
    </x:row>
    <x:row r="390">
      <x:c r="A390" s="136" t="str">
        <x:v>01087231603</x:v>
      </x:c>
      <x:c r="B390" s="132" t="str">
        <x:v>Macon County</x:v>
      </x:c>
      <x:c r="C390" s="132" t="n">
        <x:v>0</x:v>
      </x:c>
      <x:c r="D390" s="134" t="n">
        <x:v>1112</x:v>
      </x:c>
      <x:c r="E390" s="133" t="n">
        <x:v>8.5</x:v>
      </x:c>
      <x:c r="F390" s="134" t="n">
        <x:v>731</x:v>
      </x:c>
      <x:c r="G390" s="134" t="n">
        <x:v>0</x:v>
      </x:c>
      <x:c r="H390" s="134" t="n">
        <x:v>0</x:v>
      </x:c>
      <x:c r="I390" s="134" t="n">
        <x:v>0</x:v>
      </x:c>
      <x:c r="J390" s="133" t="n">
        <x:v>0</x:v>
      </x:c>
      <x:c r="K390" s="133" t="n">
        <x:v>0</x:v>
      </x:c>
      <x:c r="L390" s="133" t="n">
        <x:v>0</x:v>
      </x:c>
      <x:c r="M390" s="133" t="n">
        <x:v>0</x:v>
      </x:c>
      <x:c r="N390" s="133" t="n">
        <x:v>0</x:v>
      </x:c>
      <x:c r="O390" s="133" t="n">
        <x:v>0</x:v>
      </x:c>
      <x:c r="P390" s="132"/>
    </x:row>
    <x:row r="391">
      <x:c r="A391" s="136" t="str">
        <x:v>01089000601</x:v>
      </x:c>
      <x:c r="B391" s="132" t="str">
        <x:v>Madison County</x:v>
      </x:c>
      <x:c r="C391" s="132" t="n">
        <x:v>1</x:v>
      </x:c>
      <x:c r="D391" s="134" t="n">
        <x:v>1531</x:v>
      </x:c>
      <x:c r="E391" s="133" t="n">
        <x:v>9.9</x:v>
      </x:c>
      <x:c r="F391" s="134" t="n">
        <x:v>820</x:v>
      </x:c>
      <x:c r="G391" s="134" t="n">
        <x:v>0</x:v>
      </x:c>
      <x:c r="H391" s="134" t="n">
        <x:v>0</x:v>
      </x:c>
      <x:c r="I391" s="134" t="n">
        <x:v>0</x:v>
      </x:c>
      <x:c r="J391" s="133" t="n">
        <x:v>0</x:v>
      </x:c>
      <x:c r="K391" s="133" t="n">
        <x:v>0</x:v>
      </x:c>
      <x:c r="L391" s="133" t="n">
        <x:v>0</x:v>
      </x:c>
      <x:c r="M391" s="133" t="n">
        <x:v>0</x:v>
      </x:c>
      <x:c r="N391" s="133" t="n">
        <x:v>0</x:v>
      </x:c>
      <x:c r="O391" s="133" t="n">
        <x:v>0</x:v>
      </x:c>
      <x:c r="P391" s="132"/>
    </x:row>
    <x:row r="392">
      <x:c r="A392" s="136" t="str">
        <x:v>01089001000</x:v>
      </x:c>
      <x:c r="B392" s="132" t="str">
        <x:v>Madison County</x:v>
      </x:c>
      <x:c r="C392" s="132" t="n">
        <x:v>1</x:v>
      </x:c>
      <x:c r="D392" s="134" t="n">
        <x:v>2978</x:v>
      </x:c>
      <x:c r="E392" s="133" t="n">
        <x:v>7.7</x:v>
      </x:c>
      <x:c r="F392" s="134" t="n">
        <x:v>2414</x:v>
      </x:c>
      <x:c r="G392" s="134" t="n">
        <x:v>0</x:v>
      </x:c>
      <x:c r="H392" s="134" t="n">
        <x:v>0</x:v>
      </x:c>
      <x:c r="I392" s="134" t="n">
        <x:v>0</x:v>
      </x:c>
      <x:c r="J392" s="133" t="n">
        <x:v>0</x:v>
      </x:c>
      <x:c r="K392" s="133" t="n">
        <x:v>0</x:v>
      </x:c>
      <x:c r="L392" s="133" t="n">
        <x:v>0</x:v>
      </x:c>
      <x:c r="M392" s="133" t="n">
        <x:v>0</x:v>
      </x:c>
      <x:c r="N392" s="133" t="n">
        <x:v>0</x:v>
      </x:c>
      <x:c r="O392" s="133" t="n">
        <x:v>0</x:v>
      </x:c>
      <x:c r="P392" s="132"/>
    </x:row>
    <x:row r="393">
      <x:c r="A393" s="136" t="str">
        <x:v>01089001801</x:v>
      </x:c>
      <x:c r="B393" s="132" t="str">
        <x:v>Madison County</x:v>
      </x:c>
      <x:c r="C393" s="132" t="n">
        <x:v>0</x:v>
      </x:c>
      <x:c r="D393" s="134" t="n">
        <x:v>3802</x:v>
      </x:c>
      <x:c r="E393" s="133" t="n">
        <x:v>2.2</x:v>
      </x:c>
      <x:c r="F393" s="134" t="n">
        <x:v>3575</x:v>
      </x:c>
      <x:c r="G393" s="134" t="n">
        <x:v>0</x:v>
      </x:c>
      <x:c r="H393" s="134" t="n">
        <x:v>0</x:v>
      </x:c>
      <x:c r="I393" s="134" t="n">
        <x:v>0</x:v>
      </x:c>
      <x:c r="J393" s="133" t="n">
        <x:v>0</x:v>
      </x:c>
      <x:c r="K393" s="133" t="n">
        <x:v>0</x:v>
      </x:c>
      <x:c r="L393" s="133" t="n">
        <x:v>0</x:v>
      </x:c>
      <x:c r="M393" s="133" t="n">
        <x:v>0</x:v>
      </x:c>
      <x:c r="N393" s="133" t="n">
        <x:v>0</x:v>
      </x:c>
      <x:c r="O393" s="133" t="n">
        <x:v>0</x:v>
      </x:c>
      <x:c r="P393" s="132"/>
    </x:row>
    <x:row r="394">
      <x:c r="A394" s="136" t="str">
        <x:v>01089001902</x:v>
      </x:c>
      <x:c r="B394" s="132" t="str">
        <x:v>Madison County</x:v>
      </x:c>
      <x:c r="C394" s="132" t="n">
        <x:v>0</x:v>
      </x:c>
      <x:c r="D394" s="134" t="n">
        <x:v>2278</x:v>
      </x:c>
      <x:c r="E394" s="133" t="n">
        <x:v>4.3</x:v>
      </x:c>
      <x:c r="F394" s="134" t="n">
        <x:v>1719</x:v>
      </x:c>
      <x:c r="G394" s="134" t="n">
        <x:v>0</x:v>
      </x:c>
      <x:c r="H394" s="134" t="n">
        <x:v>0</x:v>
      </x:c>
      <x:c r="I394" s="134" t="n">
        <x:v>0</x:v>
      </x:c>
      <x:c r="J394" s="133" t="n">
        <x:v>0</x:v>
      </x:c>
      <x:c r="K394" s="133" t="n">
        <x:v>0</x:v>
      </x:c>
      <x:c r="L394" s="133" t="n">
        <x:v>0</x:v>
      </x:c>
      <x:c r="M394" s="133" t="n">
        <x:v>0</x:v>
      </x:c>
      <x:c r="N394" s="133" t="n">
        <x:v>0</x:v>
      </x:c>
      <x:c r="O394" s="133" t="n">
        <x:v>0</x:v>
      </x:c>
      <x:c r="P394" s="132"/>
    </x:row>
    <x:row r="395">
      <x:c r="A395" s="136" t="str">
        <x:v>01089002000</x:v>
      </x:c>
      <x:c r="B395" s="132" t="str">
        <x:v>Madison County</x:v>
      </x:c>
      <x:c r="C395" s="132" t="n">
        <x:v>1</x:v>
      </x:c>
      <x:c r="D395" s="134" t="n">
        <x:v>2225</x:v>
      </x:c>
      <x:c r="E395" s="133" t="n">
        <x:v>7.7</x:v>
      </x:c>
      <x:c r="F395" s="134" t="n">
        <x:v>1912</x:v>
      </x:c>
      <x:c r="G395" s="134" t="n">
        <x:v>0</x:v>
      </x:c>
      <x:c r="H395" s="134" t="n">
        <x:v>0</x:v>
      </x:c>
      <x:c r="I395" s="134" t="n">
        <x:v>0</x:v>
      </x:c>
      <x:c r="J395" s="133" t="n">
        <x:v>0</x:v>
      </x:c>
      <x:c r="K395" s="133" t="n">
        <x:v>0</x:v>
      </x:c>
      <x:c r="L395" s="133" t="n">
        <x:v>0</x:v>
      </x:c>
      <x:c r="M395" s="133" t="n">
        <x:v>0</x:v>
      </x:c>
      <x:c r="N395" s="133" t="n">
        <x:v>0</x:v>
      </x:c>
      <x:c r="O395" s="133"/>
      <x:c r="P395" s="132"/>
    </x:row>
    <x:row r="396">
      <x:c r="A396" s="136" t="str">
        <x:v>01089002300</x:v>
      </x:c>
      <x:c r="B396" s="132" t="str">
        <x:v>Madison County</x:v>
      </x:c>
      <x:c r="C396" s="132" t="n">
        <x:v>1</x:v>
      </x:c>
      <x:c r="D396" s="134" t="n">
        <x:v>5509</x:v>
      </x:c>
      <x:c r="E396" s="133" t="n">
        <x:v>17.6</x:v>
      </x:c>
      <x:c r="F396" s="134" t="n">
        <x:v>1832</x:v>
      </x:c>
      <x:c r="G396" s="134" t="n">
        <x:v>0</x:v>
      </x:c>
      <x:c r="H396" s="134" t="n">
        <x:v>0</x:v>
      </x:c>
      <x:c r="I396" s="134" t="n">
        <x:v>0</x:v>
      </x:c>
      <x:c r="J396" s="133" t="n">
        <x:v>0</x:v>
      </x:c>
      <x:c r="K396" s="133" t="n">
        <x:v>0</x:v>
      </x:c>
      <x:c r="L396" s="133" t="n">
        <x:v>0</x:v>
      </x:c>
      <x:c r="M396" s="133" t="n">
        <x:v>0</x:v>
      </x:c>
      <x:c r="N396" s="133" t="n">
        <x:v>0</x:v>
      </x:c>
      <x:c r="O396" s="133" t="n">
        <x:v>0</x:v>
      </x:c>
      <x:c r="P396" s="132"/>
    </x:row>
    <x:row r="397">
      <x:c r="A397" s="136" t="str">
        <x:v>01089003100</x:v>
      </x:c>
      <x:c r="B397" s="132" t="str">
        <x:v>Madison County</x:v>
      </x:c>
      <x:c r="C397" s="132" t="n">
        <x:v>1</x:v>
      </x:c>
      <x:c r="D397" s="134" t="n">
        <x:v>3699</x:v>
      </x:c>
      <x:c r="E397" s="133" t="n">
        <x:v>15</x:v>
      </x:c>
      <x:c r="F397" s="134" t="n">
        <x:v>2079</x:v>
      </x:c>
      <x:c r="G397" s="134" t="n">
        <x:v>0</x:v>
      </x:c>
      <x:c r="H397" s="134" t="n">
        <x:v>0</x:v>
      </x:c>
      <x:c r="I397" s="134" t="n">
        <x:v>0</x:v>
      </x:c>
      <x:c r="J397" s="133" t="n">
        <x:v>0</x:v>
      </x:c>
      <x:c r="K397" s="133" t="n">
        <x:v>0</x:v>
      </x:c>
      <x:c r="L397" s="133" t="n">
        <x:v>0</x:v>
      </x:c>
      <x:c r="M397" s="133" t="n">
        <x:v>0</x:v>
      </x:c>
      <x:c r="N397" s="133" t="n">
        <x:v>0</x:v>
      </x:c>
      <x:c r="O397" s="133" t="n">
        <x:v>0</x:v>
      </x:c>
      <x:c r="P397" s="132"/>
    </x:row>
    <x:row r="398">
      <x:c r="A398" s="136" t="str">
        <x:v>01089010302</x:v>
      </x:c>
      <x:c r="B398" s="132" t="str">
        <x:v>Madison County</x:v>
      </x:c>
      <x:c r="C398" s="132" t="n">
        <x:v>0</x:v>
      </x:c>
      <x:c r="D398" s="134" t="n">
        <x:v>4389</x:v>
      </x:c>
      <x:c r="E398" s="133" t="n">
        <x:v>12</x:v>
      </x:c>
      <x:c r="F398" s="134" t="n">
        <x:v>3602</x:v>
      </x:c>
      <x:c r="G398" s="134" t="n">
        <x:v>0</x:v>
      </x:c>
      <x:c r="H398" s="134" t="n">
        <x:v>0</x:v>
      </x:c>
      <x:c r="I398" s="134" t="n">
        <x:v>0</x:v>
      </x:c>
      <x:c r="J398" s="133" t="n">
        <x:v>0</x:v>
      </x:c>
      <x:c r="K398" s="133" t="n">
        <x:v>0</x:v>
      </x:c>
      <x:c r="L398" s="133" t="n">
        <x:v>0</x:v>
      </x:c>
      <x:c r="M398" s="133" t="n">
        <x:v>0</x:v>
      </x:c>
      <x:c r="N398" s="133" t="n">
        <x:v>0</x:v>
      </x:c>
      <x:c r="O398" s="133" t="n">
        <x:v>0</x:v>
      </x:c>
      <x:c r="P398" s="132"/>
    </x:row>
    <x:row r="399">
      <x:c r="A399" s="136" t="str">
        <x:v>01089010303</x:v>
      </x:c>
      <x:c r="B399" s="132" t="str">
        <x:v>Madison County</x:v>
      </x:c>
      <x:c r="C399" s="132" t="n">
        <x:v>0</x:v>
      </x:c>
      <x:c r="D399" s="134" t="n">
        <x:v>3571</x:v>
      </x:c>
      <x:c r="E399" s="133" t="n">
        <x:v>7.3</x:v>
      </x:c>
      <x:c r="F399" s="134" t="n">
        <x:v>3437</x:v>
      </x:c>
      <x:c r="G399" s="134" t="n">
        <x:v>0</x:v>
      </x:c>
      <x:c r="H399" s="134" t="n">
        <x:v>0</x:v>
      </x:c>
      <x:c r="I399" s="134" t="n">
        <x:v>0</x:v>
      </x:c>
      <x:c r="J399" s="133" t="n">
        <x:v>0</x:v>
      </x:c>
      <x:c r="K399" s="133" t="n">
        <x:v>0</x:v>
      </x:c>
      <x:c r="L399" s="133" t="n">
        <x:v>0</x:v>
      </x:c>
      <x:c r="M399" s="133" t="n">
        <x:v>0</x:v>
      </x:c>
      <x:c r="N399" s="133" t="n">
        <x:v>0</x:v>
      </x:c>
      <x:c r="O399" s="133" t="n">
        <x:v>0</x:v>
      </x:c>
      <x:c r="P399" s="132"/>
    </x:row>
    <x:row r="400">
      <x:c r="A400" s="136" t="str">
        <x:v>01089010304</x:v>
      </x:c>
      <x:c r="B400" s="132" t="str">
        <x:v>Madison County</x:v>
      </x:c>
      <x:c r="C400" s="132" t="n">
        <x:v>0</x:v>
      </x:c>
      <x:c r="D400" s="134" t="n">
        <x:v>5751</x:v>
      </x:c>
      <x:c r="E400" s="133" t="n">
        <x:v>9.5</x:v>
      </x:c>
      <x:c r="F400" s="134" t="n">
        <x:v>3307</x:v>
      </x:c>
      <x:c r="G400" s="134" t="n">
        <x:v>0</x:v>
      </x:c>
      <x:c r="H400" s="134" t="n">
        <x:v>0</x:v>
      </x:c>
      <x:c r="I400" s="134" t="n">
        <x:v>0</x:v>
      </x:c>
      <x:c r="J400" s="133" t="n">
        <x:v>0</x:v>
      </x:c>
      <x:c r="K400" s="133" t="n">
        <x:v>0</x:v>
      </x:c>
      <x:c r="L400" s="133" t="n">
        <x:v>0</x:v>
      </x:c>
      <x:c r="M400" s="133" t="n">
        <x:v>0</x:v>
      </x:c>
      <x:c r="N400" s="133" t="n">
        <x:v>0</x:v>
      </x:c>
      <x:c r="O400" s="133" t="n">
        <x:v>0</x:v>
      </x:c>
      <x:c r="P400" s="132"/>
    </x:row>
    <x:row r="401">
      <x:c r="A401" s="136" t="str">
        <x:v>01089010403</x:v>
      </x:c>
      <x:c r="B401" s="132" t="str">
        <x:v>Madison County</x:v>
      </x:c>
      <x:c r="C401" s="132" t="n">
        <x:v>0</x:v>
      </x:c>
      <x:c r="D401" s="134" t="n">
        <x:v>3096</x:v>
      </x:c>
      <x:c r="E401" s="133" t="n">
        <x:v>14.4</x:v>
      </x:c>
      <x:c r="F401" s="134" t="n">
        <x:v>1832</x:v>
      </x:c>
      <x:c r="G401" s="134" t="n">
        <x:v>0</x:v>
      </x:c>
      <x:c r="H401" s="134" t="n">
        <x:v>0</x:v>
      </x:c>
      <x:c r="I401" s="134" t="n">
        <x:v>0</x:v>
      </x:c>
      <x:c r="J401" s="133" t="n">
        <x:v>0</x:v>
      </x:c>
      <x:c r="K401" s="133" t="n">
        <x:v>0</x:v>
      </x:c>
      <x:c r="L401" s="133" t="n">
        <x:v>0</x:v>
      </x:c>
      <x:c r="M401" s="133" t="n">
        <x:v>0</x:v>
      </x:c>
      <x:c r="N401" s="133" t="n">
        <x:v>0</x:v>
      </x:c>
      <x:c r="O401" s="133" t="n">
        <x:v>0</x:v>
      </x:c>
      <x:c r="P401" s="132"/>
    </x:row>
    <x:row r="402">
      <x:c r="A402" s="136" t="str">
        <x:v>01089010404</x:v>
      </x:c>
      <x:c r="B402" s="132" t="str">
        <x:v>Madison County</x:v>
      </x:c>
      <x:c r="C402" s="132" t="n">
        <x:v>0</x:v>
      </x:c>
      <x:c r="D402" s="134" t="n">
        <x:v>3034</x:v>
      </x:c>
      <x:c r="E402" s="133" t="n">
        <x:v>6.9</x:v>
      </x:c>
      <x:c r="F402" s="134" t="n">
        <x:v>2063</x:v>
      </x:c>
      <x:c r="G402" s="134" t="n">
        <x:v>0</x:v>
      </x:c>
      <x:c r="H402" s="134" t="n">
        <x:v>0</x:v>
      </x:c>
      <x:c r="I402" s="134" t="n">
        <x:v>0</x:v>
      </x:c>
      <x:c r="J402" s="133" t="n">
        <x:v>0</x:v>
      </x:c>
      <x:c r="K402" s="133" t="n">
        <x:v>0</x:v>
      </x:c>
      <x:c r="L402" s="133" t="n">
        <x:v>0</x:v>
      </x:c>
      <x:c r="M402" s="133" t="n">
        <x:v>0</x:v>
      </x:c>
      <x:c r="N402" s="133" t="n">
        <x:v>0</x:v>
      </x:c>
      <x:c r="O402" s="133" t="n">
        <x:v>0</x:v>
      </x:c>
      <x:c r="P402" s="132"/>
    </x:row>
    <x:row r="403">
      <x:c r="A403" s="136" t="str">
        <x:v>01089010405</x:v>
      </x:c>
      <x:c r="B403" s="132" t="str">
        <x:v>Madison County</x:v>
      </x:c>
      <x:c r="C403" s="132" t="n">
        <x:v>0</x:v>
      </x:c>
      <x:c r="D403" s="134" t="n">
        <x:v>3673</x:v>
      </x:c>
      <x:c r="E403" s="133" t="n">
        <x:v>13.4</x:v>
      </x:c>
      <x:c r="F403" s="134" t="n">
        <x:v>2660</x:v>
      </x:c>
      <x:c r="G403" s="134" t="n">
        <x:v>0</x:v>
      </x:c>
      <x:c r="H403" s="134" t="n">
        <x:v>0</x:v>
      </x:c>
      <x:c r="I403" s="134" t="n">
        <x:v>0</x:v>
      </x:c>
      <x:c r="J403" s="133" t="n">
        <x:v>0</x:v>
      </x:c>
      <x:c r="K403" s="133" t="n">
        <x:v>0</x:v>
      </x:c>
      <x:c r="L403" s="133" t="n">
        <x:v>0</x:v>
      </x:c>
      <x:c r="M403" s="133" t="n">
        <x:v>0</x:v>
      </x:c>
      <x:c r="N403" s="133" t="n">
        <x:v>0</x:v>
      </x:c>
      <x:c r="O403" s="133" t="n">
        <x:v>0</x:v>
      </x:c>
      <x:c r="P403" s="132"/>
    </x:row>
    <x:row r="404">
      <x:c r="A404" s="136" t="str">
        <x:v>01089010406</x:v>
      </x:c>
      <x:c r="B404" s="132" t="str">
        <x:v>Madison County</x:v>
      </x:c>
      <x:c r="C404" s="132" t="n">
        <x:v>0</x:v>
      </x:c>
      <x:c r="D404" s="134" t="n">
        <x:v>2987</x:v>
      </x:c>
      <x:c r="E404" s="133" t="n">
        <x:v>7.6</x:v>
      </x:c>
      <x:c r="F404" s="134" t="n">
        <x:v>1998</x:v>
      </x:c>
      <x:c r="G404" s="134" t="n">
        <x:v>0</x:v>
      </x:c>
      <x:c r="H404" s="134" t="n">
        <x:v>0</x:v>
      </x:c>
      <x:c r="I404" s="134" t="n">
        <x:v>0</x:v>
      </x:c>
      <x:c r="J404" s="133" t="n">
        <x:v>0</x:v>
      </x:c>
      <x:c r="K404" s="133" t="n">
        <x:v>0</x:v>
      </x:c>
      <x:c r="L404" s="133" t="n">
        <x:v>0</x:v>
      </x:c>
      <x:c r="M404" s="133" t="n">
        <x:v>0</x:v>
      </x:c>
      <x:c r="N404" s="133" t="n">
        <x:v>0</x:v>
      </x:c>
      <x:c r="O404" s="133" t="n">
        <x:v>0</x:v>
      </x:c>
      <x:c r="P404" s="132"/>
    </x:row>
    <x:row r="405">
      <x:c r="A405" s="136" t="str">
        <x:v>01089010502</x:v>
      </x:c>
      <x:c r="B405" s="132" t="str">
        <x:v>Madison County</x:v>
      </x:c>
      <x:c r="C405" s="132" t="n">
        <x:v>0</x:v>
      </x:c>
      <x:c r="D405" s="134" t="n">
        <x:v>4002</x:v>
      </x:c>
      <x:c r="E405" s="133" t="n">
        <x:v>5.4</x:v>
      </x:c>
      <x:c r="F405" s="134" t="n">
        <x:v>4189</x:v>
      </x:c>
      <x:c r="G405" s="134" t="n">
        <x:v>0</x:v>
      </x:c>
      <x:c r="H405" s="134" t="n">
        <x:v>0</x:v>
      </x:c>
      <x:c r="I405" s="134" t="n">
        <x:v>0</x:v>
      </x:c>
      <x:c r="J405" s="133" t="n">
        <x:v>0</x:v>
      </x:c>
      <x:c r="K405" s="133" t="n">
        <x:v>0</x:v>
      </x:c>
      <x:c r="L405" s="133" t="n">
        <x:v>0</x:v>
      </x:c>
      <x:c r="M405" s="133" t="n">
        <x:v>0</x:v>
      </x:c>
      <x:c r="N405" s="133" t="n">
        <x:v>0</x:v>
      </x:c>
      <x:c r="O405" s="133" t="n">
        <x:v>0</x:v>
      </x:c>
      <x:c r="P405" s="132"/>
    </x:row>
    <x:row r="406">
      <x:c r="A406" s="136" t="str">
        <x:v>01089010503</x:v>
      </x:c>
      <x:c r="B406" s="132" t="str">
        <x:v>Madison County</x:v>
      </x:c>
      <x:c r="C406" s="132" t="n">
        <x:v>0</x:v>
      </x:c>
      <x:c r="D406" s="134" t="n">
        <x:v>6342</x:v>
      </x:c>
      <x:c r="E406" s="133" t="n">
        <x:v>10.2</x:v>
      </x:c>
      <x:c r="F406" s="134" t="n">
        <x:v>5477</x:v>
      </x:c>
      <x:c r="G406" s="134" t="n">
        <x:v>0</x:v>
      </x:c>
      <x:c r="H406" s="134" t="n">
        <x:v>0</x:v>
      </x:c>
      <x:c r="I406" s="134" t="n">
        <x:v>0</x:v>
      </x:c>
      <x:c r="J406" s="133" t="n">
        <x:v>0</x:v>
      </x:c>
      <x:c r="K406" s="133" t="n">
        <x:v>0</x:v>
      </x:c>
      <x:c r="L406" s="133" t="n">
        <x:v>0</x:v>
      </x:c>
      <x:c r="M406" s="133" t="n">
        <x:v>0</x:v>
      </x:c>
      <x:c r="N406" s="133" t="n">
        <x:v>0</x:v>
      </x:c>
      <x:c r="O406" s="133" t="n">
        <x:v>0</x:v>
      </x:c>
      <x:c r="P406" s="132"/>
    </x:row>
    <x:row r="407">
      <x:c r="A407" s="136" t="str">
        <x:v>01089010703</x:v>
      </x:c>
      <x:c r="B407" s="132" t="str">
        <x:v>Madison County</x:v>
      </x:c>
      <x:c r="C407" s="132" t="n">
        <x:v>0</x:v>
      </x:c>
      <x:c r="D407" s="134" t="n">
        <x:v>4658</x:v>
      </x:c>
      <x:c r="E407" s="133" t="n">
        <x:v>5.6</x:v>
      </x:c>
      <x:c r="F407" s="134" t="n">
        <x:v>5578</x:v>
      </x:c>
      <x:c r="G407" s="134" t="n">
        <x:v>0</x:v>
      </x:c>
      <x:c r="H407" s="134" t="n">
        <x:v>0</x:v>
      </x:c>
      <x:c r="I407" s="134" t="n">
        <x:v>0</x:v>
      </x:c>
      <x:c r="J407" s="133" t="n">
        <x:v>0</x:v>
      </x:c>
      <x:c r="K407" s="133" t="n">
        <x:v>0</x:v>
      </x:c>
      <x:c r="L407" s="133" t="n">
        <x:v>0</x:v>
      </x:c>
      <x:c r="M407" s="133" t="n">
        <x:v>0</x:v>
      </x:c>
      <x:c r="N407" s="133"/>
      <x:c r="O407" s="133" t="n">
        <x:v>0</x:v>
      </x:c>
      <x:c r="P407" s="132"/>
    </x:row>
    <x:row r="408">
      <x:c r="A408" s="136" t="str">
        <x:v>01089010705</x:v>
      </x:c>
      <x:c r="B408" s="132" t="str">
        <x:v>Madison County</x:v>
      </x:c>
      <x:c r="C408" s="132" t="n">
        <x:v>0</x:v>
      </x:c>
      <x:c r="D408" s="134" t="n">
        <x:v>3248</x:v>
      </x:c>
      <x:c r="E408" s="133" t="n">
        <x:v>7.1</x:v>
      </x:c>
      <x:c r="F408" s="134" t="n">
        <x:v>3290</x:v>
      </x:c>
      <x:c r="G408" s="134" t="n">
        <x:v>0</x:v>
      </x:c>
      <x:c r="H408" s="134" t="n">
        <x:v>0</x:v>
      </x:c>
      <x:c r="I408" s="134" t="n">
        <x:v>0</x:v>
      </x:c>
      <x:c r="J408" s="133" t="n">
        <x:v>0</x:v>
      </x:c>
      <x:c r="K408" s="133" t="n">
        <x:v>0</x:v>
      </x:c>
      <x:c r="L408" s="133" t="n">
        <x:v>0</x:v>
      </x:c>
      <x:c r="M408" s="133" t="n">
        <x:v>0</x:v>
      </x:c>
      <x:c r="N408" s="133" t="n">
        <x:v>0</x:v>
      </x:c>
      <x:c r="O408" s="133" t="n">
        <x:v>0</x:v>
      </x:c>
      <x:c r="P408" s="132"/>
    </x:row>
    <x:row r="409">
      <x:c r="A409" s="136" t="str">
        <x:v>01089010902</x:v>
      </x:c>
      <x:c r="B409" s="132" t="str">
        <x:v>Madison County</x:v>
      </x:c>
      <x:c r="C409" s="132" t="n">
        <x:v>0</x:v>
      </x:c>
      <x:c r="D409" s="134" t="n">
        <x:v>3081</x:v>
      </x:c>
      <x:c r="E409" s="133" t="n">
        <x:v>11.2</x:v>
      </x:c>
      <x:c r="F409" s="134" t="n">
        <x:v>2108</x:v>
      </x:c>
      <x:c r="G409" s="134" t="n">
        <x:v>0</x:v>
      </x:c>
      <x:c r="H409" s="134" t="n">
        <x:v>0</x:v>
      </x:c>
      <x:c r="I409" s="134" t="n">
        <x:v>0</x:v>
      </x:c>
      <x:c r="J409" s="133" t="n">
        <x:v>0</x:v>
      </x:c>
      <x:c r="K409" s="133" t="n">
        <x:v>0</x:v>
      </x:c>
      <x:c r="L409" s="133" t="n">
        <x:v>0</x:v>
      </x:c>
      <x:c r="M409" s="133" t="n">
        <x:v>0</x:v>
      </x:c>
      <x:c r="N409" s="133" t="n">
        <x:v>0</x:v>
      </x:c>
      <x:c r="O409" s="133" t="n">
        <x:v>0</x:v>
      </x:c>
      <x:c r="P409" s="132"/>
    </x:row>
    <x:row r="410">
      <x:c r="A410" s="136" t="str">
        <x:v>01089010904</x:v>
      </x:c>
      <x:c r="B410" s="132" t="str">
        <x:v>Madison County</x:v>
      </x:c>
      <x:c r="C410" s="132" t="n">
        <x:v>0</x:v>
      </x:c>
      <x:c r="D410" s="134" t="n">
        <x:v>4628</x:v>
      </x:c>
      <x:c r="E410" s="133" t="n">
        <x:v>0.5</x:v>
      </x:c>
      <x:c r="F410" s="134" t="n">
        <x:v>3742</x:v>
      </x:c>
      <x:c r="G410" s="134" t="n">
        <x:v>0</x:v>
      </x:c>
      <x:c r="H410" s="134" t="n">
        <x:v>0</x:v>
      </x:c>
      <x:c r="I410" s="134" t="n">
        <x:v>0</x:v>
      </x:c>
      <x:c r="J410" s="133" t="n">
        <x:v>0</x:v>
      </x:c>
      <x:c r="K410" s="133" t="n">
        <x:v>0</x:v>
      </x:c>
      <x:c r="L410" s="133" t="n">
        <x:v>0</x:v>
      </x:c>
      <x:c r="M410" s="133" t="n">
        <x:v>0</x:v>
      </x:c>
      <x:c r="N410" s="133"/>
      <x:c r="O410" s="133" t="n">
        <x:v>0</x:v>
      </x:c>
      <x:c r="P410" s="132"/>
    </x:row>
    <x:row r="411">
      <x:c r="A411" s="136" t="str">
        <x:v>01089011301</x:v>
      </x:c>
      <x:c r="B411" s="132" t="str">
        <x:v>Madison County</x:v>
      </x:c>
      <x:c r="C411" s="132" t="n">
        <x:v>0</x:v>
      </x:c>
      <x:c r="D411" s="134" t="n">
        <x:v>4017</x:v>
      </x:c>
      <x:c r="E411" s="133" t="n">
        <x:v>9</x:v>
      </x:c>
      <x:c r="F411" s="134" t="n">
        <x:v>3018</x:v>
      </x:c>
      <x:c r="G411" s="134" t="n">
        <x:v>0</x:v>
      </x:c>
      <x:c r="H411" s="134" t="n">
        <x:v>0</x:v>
      </x:c>
      <x:c r="I411" s="134" t="n">
        <x:v>0</x:v>
      </x:c>
      <x:c r="J411" s="133" t="n">
        <x:v>0</x:v>
      </x:c>
      <x:c r="K411" s="133" t="n">
        <x:v>0</x:v>
      </x:c>
      <x:c r="L411" s="133" t="n">
        <x:v>0</x:v>
      </x:c>
      <x:c r="M411" s="133" t="n">
        <x:v>0</x:v>
      </x:c>
      <x:c r="N411" s="133" t="n">
        <x:v>0</x:v>
      </x:c>
      <x:c r="O411" s="133" t="n">
        <x:v>0</x:v>
      </x:c>
      <x:c r="P411" s="132"/>
    </x:row>
    <x:row r="412">
      <x:c r="A412" s="136" t="str">
        <x:v>01093964001</x:v>
      </x:c>
      <x:c r="B412" s="132" t="str">
        <x:v>Marion County</x:v>
      </x:c>
      <x:c r="C412" s="132" t="n">
        <x:v>0</x:v>
      </x:c>
      <x:c r="D412" s="134" t="n">
        <x:v>3198</x:v>
      </x:c>
      <x:c r="E412" s="133" t="n">
        <x:v>23.8</x:v>
      </x:c>
      <x:c r="F412" s="134" t="n">
        <x:v>1709</x:v>
      </x:c>
      <x:c r="G412" s="134" t="n">
        <x:v>0</x:v>
      </x:c>
      <x:c r="H412" s="134" t="n">
        <x:v>0</x:v>
      </x:c>
      <x:c r="I412" s="134" t="n">
        <x:v>0</x:v>
      </x:c>
      <x:c r="J412" s="133" t="n">
        <x:v>0</x:v>
      </x:c>
      <x:c r="K412" s="133" t="n">
        <x:v>0</x:v>
      </x:c>
      <x:c r="L412" s="133" t="n">
        <x:v>0</x:v>
      </x:c>
      <x:c r="M412" s="133" t="n">
        <x:v>0</x:v>
      </x:c>
      <x:c r="N412" s="133" t="n">
        <x:v>0</x:v>
      </x:c>
      <x:c r="O412" s="133" t="n">
        <x:v>0</x:v>
      </x:c>
      <x:c r="P412" s="132"/>
    </x:row>
    <x:row r="413">
      <x:c r="A413" s="136" t="str">
        <x:v>01093964402</x:v>
      </x:c>
      <x:c r="B413" s="132" t="str">
        <x:v>Marion County</x:v>
      </x:c>
      <x:c r="C413" s="132" t="n">
        <x:v>0</x:v>
      </x:c>
      <x:c r="D413" s="134" t="n">
        <x:v>1905</x:v>
      </x:c>
      <x:c r="E413" s="133" t="n">
        <x:v>16.7</x:v>
      </x:c>
      <x:c r="F413" s="134" t="n">
        <x:v>1265</x:v>
      </x:c>
      <x:c r="G413" s="134" t="n">
        <x:v>0</x:v>
      </x:c>
      <x:c r="H413" s="134" t="n">
        <x:v>0</x:v>
      </x:c>
      <x:c r="I413" s="134" t="n">
        <x:v>0</x:v>
      </x:c>
      <x:c r="J413" s="133" t="n">
        <x:v>0</x:v>
      </x:c>
      <x:c r="K413" s="133" t="n">
        <x:v>0</x:v>
      </x:c>
      <x:c r="L413" s="133" t="n">
        <x:v>0</x:v>
      </x:c>
      <x:c r="M413" s="133" t="n">
        <x:v>0</x:v>
      </x:c>
      <x:c r="N413" s="133" t="n">
        <x:v>0</x:v>
      </x:c>
      <x:c r="O413" s="133" t="n">
        <x:v>0</x:v>
      </x:c>
      <x:c r="P413" s="132"/>
    </x:row>
    <x:row r="414">
      <x:c r="A414" s="136" t="str">
        <x:v>01093964600</x:v>
      </x:c>
      <x:c r="B414" s="132" t="str">
        <x:v>Marion County</x:v>
      </x:c>
      <x:c r="C414" s="132" t="n">
        <x:v>0</x:v>
      </x:c>
      <x:c r="D414" s="134" t="n">
        <x:v>3065</x:v>
      </x:c>
      <x:c r="E414" s="133" t="n">
        <x:v>17.1</x:v>
      </x:c>
      <x:c r="F414" s="134" t="n">
        <x:v>1765</x:v>
      </x:c>
      <x:c r="G414" s="134" t="n">
        <x:v>0</x:v>
      </x:c>
      <x:c r="H414" s="134" t="n">
        <x:v>0</x:v>
      </x:c>
      <x:c r="I414" s="134" t="n">
        <x:v>0</x:v>
      </x:c>
      <x:c r="J414" s="133" t="n">
        <x:v>0</x:v>
      </x:c>
      <x:c r="K414" s="133" t="n">
        <x:v>0</x:v>
      </x:c>
      <x:c r="L414" s="133" t="n">
        <x:v>0</x:v>
      </x:c>
      <x:c r="M414" s="133" t="n">
        <x:v>0</x:v>
      </x:c>
      <x:c r="N414" s="133" t="n">
        <x:v>0</x:v>
      </x:c>
      <x:c r="O414" s="133" t="n">
        <x:v>0</x:v>
      </x:c>
      <x:c r="P414" s="132"/>
    </x:row>
    <x:row r="415">
      <x:c r="A415" s="136" t="str">
        <x:v>01093964701</x:v>
      </x:c>
      <x:c r="B415" s="132" t="str">
        <x:v>Marion County</x:v>
      </x:c>
      <x:c r="C415" s="132" t="n">
        <x:v>0</x:v>
      </x:c>
      <x:c r="D415" s="134" t="n">
        <x:v>2457</x:v>
      </x:c>
      <x:c r="E415" s="133" t="n">
        <x:v>23.8</x:v>
      </x:c>
      <x:c r="F415" s="134" t="n">
        <x:v>1119</x:v>
      </x:c>
      <x:c r="G415" s="134" t="n">
        <x:v>0</x:v>
      </x:c>
      <x:c r="H415" s="134" t="n">
        <x:v>0</x:v>
      </x:c>
      <x:c r="I415" s="134" t="n">
        <x:v>0</x:v>
      </x:c>
      <x:c r="J415" s="133" t="n">
        <x:v>0</x:v>
      </x:c>
      <x:c r="K415" s="133" t="n">
        <x:v>0</x:v>
      </x:c>
      <x:c r="L415" s="133" t="n">
        <x:v>0</x:v>
      </x:c>
      <x:c r="M415" s="133" t="n">
        <x:v>0</x:v>
      </x:c>
      <x:c r="N415" s="133" t="n">
        <x:v>0</x:v>
      </x:c>
      <x:c r="O415" s="133" t="n">
        <x:v>0</x:v>
      </x:c>
      <x:c r="P415" s="132"/>
    </x:row>
    <x:row r="416">
      <x:c r="A416" s="136" t="str">
        <x:v>01093964702</x:v>
      </x:c>
      <x:c r="B416" s="132" t="str">
        <x:v>Marion County</x:v>
      </x:c>
      <x:c r="C416" s="132" t="n">
        <x:v>0</x:v>
      </x:c>
      <x:c r="D416" s="134" t="n">
        <x:v>3145</x:v>
      </x:c>
      <x:c r="E416" s="133" t="n">
        <x:v>13.1</x:v>
      </x:c>
      <x:c r="F416" s="134" t="n">
        <x:v>2052</x:v>
      </x:c>
      <x:c r="G416" s="134" t="n">
        <x:v>0</x:v>
      </x:c>
      <x:c r="H416" s="134" t="n">
        <x:v>0</x:v>
      </x:c>
      <x:c r="I416" s="134" t="n">
        <x:v>0</x:v>
      </x:c>
      <x:c r="J416" s="133" t="n">
        <x:v>0</x:v>
      </x:c>
      <x:c r="K416" s="133" t="n">
        <x:v>0</x:v>
      </x:c>
      <x:c r="L416" s="133" t="n">
        <x:v>0</x:v>
      </x:c>
      <x:c r="M416" s="133" t="n">
        <x:v>0</x:v>
      </x:c>
      <x:c r="N416" s="133" t="n">
        <x:v>0</x:v>
      </x:c>
      <x:c r="O416" s="133" t="n">
        <x:v>0</x:v>
      </x:c>
      <x:c r="P416" s="132"/>
    </x:row>
    <x:row r="417">
      <x:c r="A417" s="136" t="str">
        <x:v>01095030101</x:v>
      </x:c>
      <x:c r="B417" s="132" t="str">
        <x:v>Marshall County</x:v>
      </x:c>
      <x:c r="C417" s="132" t="n">
        <x:v>0</x:v>
      </x:c>
      <x:c r="D417" s="134" t="n">
        <x:v>1489</x:v>
      </x:c>
      <x:c r="E417" s="133" t="n">
        <x:v>13.8</x:v>
      </x:c>
      <x:c r="F417" s="134" t="n">
        <x:v>1208</x:v>
      </x:c>
      <x:c r="G417" s="134" t="n">
        <x:v>0</x:v>
      </x:c>
      <x:c r="H417" s="134" t="n">
        <x:v>0</x:v>
      </x:c>
      <x:c r="I417" s="134" t="n">
        <x:v>0</x:v>
      </x:c>
      <x:c r="J417" s="133" t="n">
        <x:v>0</x:v>
      </x:c>
      <x:c r="K417" s="133" t="n">
        <x:v>0</x:v>
      </x:c>
      <x:c r="L417" s="133" t="n">
        <x:v>0</x:v>
      </x:c>
      <x:c r="M417" s="133" t="n">
        <x:v>0</x:v>
      </x:c>
      <x:c r="N417" s="133" t="n">
        <x:v>0</x:v>
      </x:c>
      <x:c r="O417" s="133" t="n">
        <x:v>0</x:v>
      </x:c>
      <x:c r="P417" s="132"/>
    </x:row>
    <x:row r="418">
      <x:c r="A418" s="136" t="str">
        <x:v>01095030204</x:v>
      </x:c>
      <x:c r="B418" s="132" t="str">
        <x:v>Marshall County</x:v>
      </x:c>
      <x:c r="C418" s="132" t="n">
        <x:v>0</x:v>
      </x:c>
      <x:c r="D418" s="134" t="n">
        <x:v>1823</x:v>
      </x:c>
      <x:c r="E418" s="133" t="n">
        <x:v>10.3</x:v>
      </x:c>
      <x:c r="F418" s="134" t="n">
        <x:v>1247</x:v>
      </x:c>
      <x:c r="G418" s="134" t="n">
        <x:v>0</x:v>
      </x:c>
      <x:c r="H418" s="134" t="n">
        <x:v>0</x:v>
      </x:c>
      <x:c r="I418" s="134" t="n">
        <x:v>0</x:v>
      </x:c>
      <x:c r="J418" s="133" t="n">
        <x:v>0</x:v>
      </x:c>
      <x:c r="K418" s="133" t="n">
        <x:v>0</x:v>
      </x:c>
      <x:c r="L418" s="133" t="n">
        <x:v>0</x:v>
      </x:c>
      <x:c r="M418" s="133" t="n">
        <x:v>0</x:v>
      </x:c>
      <x:c r="N418" s="133" t="n">
        <x:v>0</x:v>
      </x:c>
      <x:c r="O418" s="133" t="n">
        <x:v>0</x:v>
      </x:c>
      <x:c r="P418" s="132"/>
    </x:row>
    <x:row r="419">
      <x:c r="A419" s="136" t="str">
        <x:v>01095030301</x:v>
      </x:c>
      <x:c r="B419" s="132" t="str">
        <x:v>Marshall County</x:v>
      </x:c>
      <x:c r="C419" s="132" t="n">
        <x:v>0</x:v>
      </x:c>
      <x:c r="D419" s="134" t="n">
        <x:v>2175</x:v>
      </x:c>
      <x:c r="E419" s="133" t="n">
        <x:v>7.5</x:v>
      </x:c>
      <x:c r="F419" s="134" t="n">
        <x:v>2114</x:v>
      </x:c>
      <x:c r="G419" s="134" t="n">
        <x:v>0</x:v>
      </x:c>
      <x:c r="H419" s="134" t="n">
        <x:v>0</x:v>
      </x:c>
      <x:c r="I419" s="134" t="n">
        <x:v>0</x:v>
      </x:c>
      <x:c r="J419" s="133" t="n">
        <x:v>0</x:v>
      </x:c>
      <x:c r="K419" s="133" t="n">
        <x:v>0</x:v>
      </x:c>
      <x:c r="L419" s="133" t="n">
        <x:v>0</x:v>
      </x:c>
      <x:c r="M419" s="133" t="n">
        <x:v>0</x:v>
      </x:c>
      <x:c r="N419" s="133" t="n">
        <x:v>0</x:v>
      </x:c>
      <x:c r="O419" s="133" t="n">
        <x:v>0</x:v>
      </x:c>
      <x:c r="P419" s="132"/>
    </x:row>
    <x:row r="420">
      <x:c r="A420" s="136" t="str">
        <x:v>01095030402</x:v>
      </x:c>
      <x:c r="B420" s="132" t="str">
        <x:v>Marshall County</x:v>
      </x:c>
      <x:c r="C420" s="132" t="n">
        <x:v>0</x:v>
      </x:c>
      <x:c r="D420" s="134" t="n">
        <x:v>3502</x:v>
      </x:c>
      <x:c r="E420" s="133" t="n">
        <x:v>4.7</x:v>
      </x:c>
      <x:c r="F420" s="134" t="n">
        <x:v>2511</x:v>
      </x:c>
      <x:c r="G420" s="134" t="n">
        <x:v>0</x:v>
      </x:c>
      <x:c r="H420" s="134" t="n">
        <x:v>0</x:v>
      </x:c>
      <x:c r="I420" s="134" t="n">
        <x:v>0</x:v>
      </x:c>
      <x:c r="J420" s="133" t="n">
        <x:v>0</x:v>
      </x:c>
      <x:c r="K420" s="133" t="n">
        <x:v>0</x:v>
      </x:c>
      <x:c r="L420" s="133" t="n">
        <x:v>0</x:v>
      </x:c>
      <x:c r="M420" s="133" t="n">
        <x:v>0</x:v>
      </x:c>
      <x:c r="N420" s="133" t="n">
        <x:v>0</x:v>
      </x:c>
      <x:c r="O420" s="133" t="n">
        <x:v>0</x:v>
      </x:c>
      <x:c r="P420" s="132"/>
    </x:row>
    <x:row r="421">
      <x:c r="A421" s="136" t="str">
        <x:v>01095030501</x:v>
      </x:c>
      <x:c r="B421" s="132" t="str">
        <x:v>Marshall County</x:v>
      </x:c>
      <x:c r="C421" s="132" t="n">
        <x:v>0</x:v>
      </x:c>
      <x:c r="D421" s="134" t="n">
        <x:v>2782</x:v>
      </x:c>
      <x:c r="E421" s="133" t="n">
        <x:v>10</x:v>
      </x:c>
      <x:c r="F421" s="134" t="n">
        <x:v>1705</x:v>
      </x:c>
      <x:c r="G421" s="134" t="n">
        <x:v>0</x:v>
      </x:c>
      <x:c r="H421" s="134" t="n">
        <x:v>0</x:v>
      </x:c>
      <x:c r="I421" s="134" t="n">
        <x:v>0</x:v>
      </x:c>
      <x:c r="J421" s="133" t="n">
        <x:v>0</x:v>
      </x:c>
      <x:c r="K421" s="133" t="n">
        <x:v>0</x:v>
      </x:c>
      <x:c r="L421" s="133" t="n">
        <x:v>0</x:v>
      </x:c>
      <x:c r="M421" s="133" t="n">
        <x:v>0</x:v>
      </x:c>
      <x:c r="N421" s="133" t="n">
        <x:v>0</x:v>
      </x:c>
      <x:c r="O421" s="133" t="n">
        <x:v>0</x:v>
      </x:c>
      <x:c r="P421" s="132"/>
    </x:row>
    <x:row r="422">
      <x:c r="A422" s="136" t="str">
        <x:v>01095030502</x:v>
      </x:c>
      <x:c r="B422" s="132" t="str">
        <x:v>Marshall County</x:v>
      </x:c>
      <x:c r="C422" s="132" t="n">
        <x:v>0</x:v>
      </x:c>
      <x:c r="D422" s="134" t="n">
        <x:v>4868</x:v>
      </x:c>
      <x:c r="E422" s="133" t="n">
        <x:v>19.8</x:v>
      </x:c>
      <x:c r="F422" s="134" t="n">
        <x:v>3144</x:v>
      </x:c>
      <x:c r="G422" s="134" t="n">
        <x:v>0</x:v>
      </x:c>
      <x:c r="H422" s="134" t="n">
        <x:v>0</x:v>
      </x:c>
      <x:c r="I422" s="134" t="n">
        <x:v>0</x:v>
      </x:c>
      <x:c r="J422" s="133" t="n">
        <x:v>0</x:v>
      </x:c>
      <x:c r="K422" s="133" t="n">
        <x:v>0</x:v>
      </x:c>
      <x:c r="L422" s="133" t="n">
        <x:v>0</x:v>
      </x:c>
      <x:c r="M422" s="133" t="n">
        <x:v>0</x:v>
      </x:c>
      <x:c r="N422" s="133" t="n">
        <x:v>0</x:v>
      </x:c>
      <x:c r="O422" s="133" t="n">
        <x:v>0</x:v>
      </x:c>
      <x:c r="P422" s="132"/>
    </x:row>
    <x:row r="423">
      <x:c r="A423" s="136" t="str">
        <x:v>01095030803</x:v>
      </x:c>
      <x:c r="B423" s="132" t="str">
        <x:v>Marshall County</x:v>
      </x:c>
      <x:c r="C423" s="132" t="n">
        <x:v>0</x:v>
      </x:c>
      <x:c r="D423" s="134" t="n">
        <x:v>2377</x:v>
      </x:c>
      <x:c r="E423" s="133" t="n">
        <x:v>20.6</x:v>
      </x:c>
      <x:c r="F423" s="134" t="n">
        <x:v>863</x:v>
      </x:c>
      <x:c r="G423" s="134" t="n">
        <x:v>0</x:v>
      </x:c>
      <x:c r="H423" s="134" t="n">
        <x:v>0</x:v>
      </x:c>
      <x:c r="I423" s="134" t="n">
        <x:v>0</x:v>
      </x:c>
      <x:c r="J423" s="133" t="n">
        <x:v>0</x:v>
      </x:c>
      <x:c r="K423" s="133" t="n">
        <x:v>0</x:v>
      </x:c>
      <x:c r="L423" s="133" t="n">
        <x:v>0</x:v>
      </x:c>
      <x:c r="M423" s="133" t="n">
        <x:v>0</x:v>
      </x:c>
      <x:c r="N423" s="133" t="n">
        <x:v>0</x:v>
      </x:c>
      <x:c r="O423" s="133" t="n">
        <x:v>0</x:v>
      </x:c>
      <x:c r="P423" s="132"/>
    </x:row>
    <x:row r="424">
      <x:c r="A424" s="136" t="str">
        <x:v>01095030902</x:v>
      </x:c>
      <x:c r="B424" s="132" t="str">
        <x:v>Marshall County</x:v>
      </x:c>
      <x:c r="C424" s="132" t="n">
        <x:v>0</x:v>
      </x:c>
      <x:c r="D424" s="134" t="n">
        <x:v>4887</x:v>
      </x:c>
      <x:c r="E424" s="133" t="n">
        <x:v>12.2</x:v>
      </x:c>
      <x:c r="F424" s="134" t="n">
        <x:v>3790</x:v>
      </x:c>
      <x:c r="G424" s="134" t="n">
        <x:v>0</x:v>
      </x:c>
      <x:c r="H424" s="134" t="n">
        <x:v>0</x:v>
      </x:c>
      <x:c r="I424" s="134" t="n">
        <x:v>0</x:v>
      </x:c>
      <x:c r="J424" s="133" t="n">
        <x:v>0</x:v>
      </x:c>
      <x:c r="K424" s="133" t="n">
        <x:v>0</x:v>
      </x:c>
      <x:c r="L424" s="133" t="n">
        <x:v>0</x:v>
      </x:c>
      <x:c r="M424" s="133" t="n">
        <x:v>0</x:v>
      </x:c>
      <x:c r="N424" s="133" t="n">
        <x:v>0</x:v>
      </x:c>
      <x:c r="O424" s="133" t="n">
        <x:v>0</x:v>
      </x:c>
      <x:c r="P424" s="132"/>
    </x:row>
    <x:row r="425">
      <x:c r="A425" s="136" t="str">
        <x:v>01095030904</x:v>
      </x:c>
      <x:c r="B425" s="132" t="str">
        <x:v>Marshall County</x:v>
      </x:c>
      <x:c r="C425" s="132" t="n">
        <x:v>0</x:v>
      </x:c>
      <x:c r="D425" s="134" t="n">
        <x:v>5765</x:v>
      </x:c>
      <x:c r="E425" s="133" t="n">
        <x:v>16.1</x:v>
      </x:c>
      <x:c r="F425" s="134" t="n">
        <x:v>3623</x:v>
      </x:c>
      <x:c r="G425" s="134" t="n">
        <x:v>0</x:v>
      </x:c>
      <x:c r="H425" s="134" t="n">
        <x:v>0</x:v>
      </x:c>
      <x:c r="I425" s="134" t="n">
        <x:v>0</x:v>
      </x:c>
      <x:c r="J425" s="133" t="n">
        <x:v>0</x:v>
      </x:c>
      <x:c r="K425" s="133" t="n">
        <x:v>0</x:v>
      </x:c>
      <x:c r="L425" s="133" t="n">
        <x:v>0</x:v>
      </x:c>
      <x:c r="M425" s="133" t="n">
        <x:v>0</x:v>
      </x:c>
      <x:c r="N425" s="133" t="n">
        <x:v>0</x:v>
      </x:c>
      <x:c r="O425" s="133" t="n">
        <x:v>0</x:v>
      </x:c>
      <x:c r="P425" s="132"/>
    </x:row>
    <x:row r="426">
      <x:c r="A426" s="136" t="str">
        <x:v>01095031001</x:v>
      </x:c>
      <x:c r="B426" s="132" t="str">
        <x:v>Marshall County</x:v>
      </x:c>
      <x:c r="C426" s="132" t="n">
        <x:v>0</x:v>
      </x:c>
      <x:c r="D426" s="134" t="n">
        <x:v>3471</x:v>
      </x:c>
      <x:c r="E426" s="133" t="n">
        <x:v>16.7</x:v>
      </x:c>
      <x:c r="F426" s="134" t="n">
        <x:v>2123</x:v>
      </x:c>
      <x:c r="G426" s="134" t="n">
        <x:v>0</x:v>
      </x:c>
      <x:c r="H426" s="134" t="n">
        <x:v>0</x:v>
      </x:c>
      <x:c r="I426" s="134" t="n">
        <x:v>0</x:v>
      </x:c>
      <x:c r="J426" s="133" t="n">
        <x:v>0</x:v>
      </x:c>
      <x:c r="K426" s="133" t="n">
        <x:v>0</x:v>
      </x:c>
      <x:c r="L426" s="133" t="n">
        <x:v>0</x:v>
      </x:c>
      <x:c r="M426" s="133" t="n">
        <x:v>0</x:v>
      </x:c>
      <x:c r="N426" s="133" t="n">
        <x:v>0</x:v>
      </x:c>
      <x:c r="O426" s="133" t="n">
        <x:v>0</x:v>
      </x:c>
      <x:c r="P426" s="132"/>
    </x:row>
    <x:row r="427">
      <x:c r="A427" s="136" t="str">
        <x:v>01095031100</x:v>
      </x:c>
      <x:c r="B427" s="132" t="str">
        <x:v>Marshall County</x:v>
      </x:c>
      <x:c r="C427" s="132" t="n">
        <x:v>0</x:v>
      </x:c>
      <x:c r="D427" s="134" t="n">
        <x:v>5066</x:v>
      </x:c>
      <x:c r="E427" s="133" t="n">
        <x:v>24.8</x:v>
      </x:c>
      <x:c r="F427" s="134" t="n">
        <x:v>2270</x:v>
      </x:c>
      <x:c r="G427" s="134" t="n">
        <x:v>0</x:v>
      </x:c>
      <x:c r="H427" s="134" t="n">
        <x:v>0</x:v>
      </x:c>
      <x:c r="I427" s="134" t="n">
        <x:v>0</x:v>
      </x:c>
      <x:c r="J427" s="133" t="n">
        <x:v>0</x:v>
      </x:c>
      <x:c r="K427" s="133" t="n">
        <x:v>0</x:v>
      </x:c>
      <x:c r="L427" s="133" t="n">
        <x:v>0</x:v>
      </x:c>
      <x:c r="M427" s="133" t="n">
        <x:v>0</x:v>
      </x:c>
      <x:c r="N427" s="133" t="n">
        <x:v>0</x:v>
      </x:c>
      <x:c r="O427" s="133" t="n">
        <x:v>0</x:v>
      </x:c>
      <x:c r="P427" s="132"/>
    </x:row>
    <x:row r="428">
      <x:c r="A428" s="136" t="str">
        <x:v>01095031200</x:v>
      </x:c>
      <x:c r="B428" s="132" t="str">
        <x:v>Marshall County</x:v>
      </x:c>
      <x:c r="C428" s="132" t="n">
        <x:v>0</x:v>
      </x:c>
      <x:c r="D428" s="134" t="n">
        <x:v>5727</x:v>
      </x:c>
      <x:c r="E428" s="133" t="n">
        <x:v>17.5</x:v>
      </x:c>
      <x:c r="F428" s="134" t="n">
        <x:v>3223</x:v>
      </x:c>
      <x:c r="G428" s="134" t="n">
        <x:v>0</x:v>
      </x:c>
      <x:c r="H428" s="134" t="n">
        <x:v>0</x:v>
      </x:c>
      <x:c r="I428" s="134" t="n">
        <x:v>0</x:v>
      </x:c>
      <x:c r="J428" s="133" t="n">
        <x:v>0</x:v>
      </x:c>
      <x:c r="K428" s="133" t="n">
        <x:v>0</x:v>
      </x:c>
      <x:c r="L428" s="133" t="n">
        <x:v>0</x:v>
      </x:c>
      <x:c r="M428" s="133" t="n">
        <x:v>0</x:v>
      </x:c>
      <x:c r="N428" s="133" t="n">
        <x:v>0</x:v>
      </x:c>
      <x:c r="O428" s="133" t="n">
        <x:v>0</x:v>
      </x:c>
      <x:c r="P428" s="132"/>
    </x:row>
    <x:row r="429">
      <x:c r="A429" s="136" t="str">
        <x:v>01097000200</x:v>
      </x:c>
      <x:c r="B429" s="132" t="str">
        <x:v>Mobile County</x:v>
      </x:c>
      <x:c r="C429" s="132" t="n">
        <x:v>1</x:v>
      </x:c>
      <x:c r="D429" s="134" t="n">
        <x:v>1247</x:v>
      </x:c>
      <x:c r="E429" s="133" t="n">
        <x:v>25.7</x:v>
      </x:c>
      <x:c r="F429" s="134" t="n">
        <x:v>580</x:v>
      </x:c>
      <x:c r="G429" s="134" t="n">
        <x:v>0</x:v>
      </x:c>
      <x:c r="H429" s="134" t="n">
        <x:v>0</x:v>
      </x:c>
      <x:c r="I429" s="134" t="n">
        <x:v>0</x:v>
      </x:c>
      <x:c r="J429" s="133" t="n">
        <x:v>0</x:v>
      </x:c>
      <x:c r="K429" s="133" t="n">
        <x:v>0</x:v>
      </x:c>
      <x:c r="L429" s="133" t="n">
        <x:v>0</x:v>
      </x:c>
      <x:c r="M429" s="133" t="n">
        <x:v>0</x:v>
      </x:c>
      <x:c r="N429" s="133" t="n">
        <x:v>0</x:v>
      </x:c>
      <x:c r="O429" s="133" t="n">
        <x:v>0</x:v>
      </x:c>
      <x:c r="P429" s="132"/>
    </x:row>
    <x:row r="430">
      <x:c r="A430" s="136" t="str">
        <x:v>01097000401</x:v>
      </x:c>
      <x:c r="B430" s="132" t="str">
        <x:v>Mobile County</x:v>
      </x:c>
      <x:c r="C430" s="132" t="n">
        <x:v>1</x:v>
      </x:c>
      <x:c r="D430" s="134" t="n">
        <x:v>1177</x:v>
      </x:c>
      <x:c r="E430" s="133" t="n">
        <x:v>31.1</x:v>
      </x:c>
      <x:c r="F430" s="134" t="n">
        <x:v>296</x:v>
      </x:c>
      <x:c r="G430" s="134" t="n">
        <x:v>0</x:v>
      </x:c>
      <x:c r="H430" s="134" t="n">
        <x:v>0</x:v>
      </x:c>
      <x:c r="I430" s="134" t="n">
        <x:v>0</x:v>
      </x:c>
      <x:c r="J430" s="133" t="n">
        <x:v>0</x:v>
      </x:c>
      <x:c r="K430" s="133" t="n">
        <x:v>0</x:v>
      </x:c>
      <x:c r="L430" s="133" t="n">
        <x:v>0</x:v>
      </x:c>
      <x:c r="M430" s="133" t="n">
        <x:v>0</x:v>
      </x:c>
      <x:c r="N430" s="133" t="n">
        <x:v>0</x:v>
      </x:c>
      <x:c r="O430" s="133" t="n">
        <x:v>0</x:v>
      </x:c>
      <x:c r="P430" s="132"/>
    </x:row>
    <x:row r="431">
      <x:c r="A431" s="136" t="str">
        <x:v>01097000402</x:v>
      </x:c>
      <x:c r="B431" s="132" t="str">
        <x:v>Mobile County</x:v>
      </x:c>
      <x:c r="C431" s="132" t="n">
        <x:v>1</x:v>
      </x:c>
      <x:c r="D431" s="134" t="n">
        <x:v>872</x:v>
      </x:c>
      <x:c r="E431" s="133" t="n">
        <x:v>55.2</x:v>
      </x:c>
      <x:c r="F431" s="134" t="n">
        <x:v>0</x:v>
      </x:c>
      <x:c r="G431" s="134" t="n">
        <x:v>0</x:v>
      </x:c>
      <x:c r="H431" s="134" t="n">
        <x:v>12</x:v>
      </x:c>
      <x:c r="I431" s="134" t="n">
        <x:v>0</x:v>
      </x:c>
      <x:c r="J431" s="133" t="n">
        <x:v>1.3761467889908257</x:v>
      </x:c>
      <x:c r="K431" s="133"/>
      <x:c r="L431" s="133" t="n">
        <x:v>1.2626262626262625</x:v>
      </x:c>
      <x:c r="M431" s="133" t="n">
        <x:v>1.0869565217391304</x:v>
      </x:c>
      <x:c r="N431" s="133" t="n">
        <x:v>1.3157894736842106</x:v>
      </x:c>
      <x:c r="O431" s="133" t="n">
        <x:v>1.3966480446927374</x:v>
      </x:c>
      <x:c r="P431" s="132"/>
    </x:row>
    <x:row r="432">
      <x:c r="A432" s="136" t="str">
        <x:v>01097000500</x:v>
      </x:c>
      <x:c r="B432" s="132" t="str">
        <x:v>Mobile County</x:v>
      </x:c>
      <x:c r="C432" s="132" t="n">
        <x:v>1</x:v>
      </x:c>
      <x:c r="D432" s="134" t="n">
        <x:v>1487</x:v>
      </x:c>
      <x:c r="E432" s="133" t="n">
        <x:v>35.5</x:v>
      </x:c>
      <x:c r="F432" s="134" t="n">
        <x:v>371</x:v>
      </x:c>
      <x:c r="G432" s="134" t="n">
        <x:v>0</x:v>
      </x:c>
      <x:c r="H432" s="134" t="n">
        <x:v>0</x:v>
      </x:c>
      <x:c r="I432" s="134" t="n">
        <x:v>0</x:v>
      </x:c>
      <x:c r="J432" s="133" t="n">
        <x:v>0</x:v>
      </x:c>
      <x:c r="K432" s="133" t="n">
        <x:v>0</x:v>
      </x:c>
      <x:c r="L432" s="133" t="n">
        <x:v>0</x:v>
      </x:c>
      <x:c r="M432" s="133" t="n">
        <x:v>0</x:v>
      </x:c>
      <x:c r="N432" s="133" t="n">
        <x:v>0</x:v>
      </x:c>
      <x:c r="O432" s="133" t="n">
        <x:v>0</x:v>
      </x:c>
      <x:c r="P432" s="132"/>
    </x:row>
    <x:row r="433">
      <x:c r="A433" s="136" t="str">
        <x:v>01097000701</x:v>
      </x:c>
      <x:c r="B433" s="132" t="str">
        <x:v>Mobile County</x:v>
      </x:c>
      <x:c r="C433" s="132" t="n">
        <x:v>1</x:v>
      </x:c>
      <x:c r="D433" s="134" t="n">
        <x:v>1783</x:v>
      </x:c>
      <x:c r="E433" s="133" t="n">
        <x:v>38.8</x:v>
      </x:c>
      <x:c r="F433" s="134" t="n">
        <x:v>722</x:v>
      </x:c>
      <x:c r="G433" s="134" t="n">
        <x:v>0</x:v>
      </x:c>
      <x:c r="H433" s="134" t="n">
        <x:v>0</x:v>
      </x:c>
      <x:c r="I433" s="134" t="n">
        <x:v>0</x:v>
      </x:c>
      <x:c r="J433" s="133" t="n">
        <x:v>0</x:v>
      </x:c>
      <x:c r="K433" s="133" t="n">
        <x:v>0</x:v>
      </x:c>
      <x:c r="L433" s="133" t="n">
        <x:v>0</x:v>
      </x:c>
      <x:c r="M433" s="133" t="n">
        <x:v>0</x:v>
      </x:c>
      <x:c r="N433" s="133" t="n">
        <x:v>0</x:v>
      </x:c>
      <x:c r="O433" s="133" t="n">
        <x:v>0</x:v>
      </x:c>
      <x:c r="P433" s="132"/>
    </x:row>
    <x:row r="434">
      <x:c r="A434" s="136" t="str">
        <x:v>01097000702</x:v>
      </x:c>
      <x:c r="B434" s="132" t="str">
        <x:v>Mobile County</x:v>
      </x:c>
      <x:c r="C434" s="132" t="n">
        <x:v>1</x:v>
      </x:c>
      <x:c r="D434" s="134" t="n">
        <x:v>2038</x:v>
      </x:c>
      <x:c r="E434" s="133" t="n">
        <x:v>17.7</x:v>
      </x:c>
      <x:c r="F434" s="134" t="n">
        <x:v>1258</x:v>
      </x:c>
      <x:c r="G434" s="134" t="n">
        <x:v>0</x:v>
      </x:c>
      <x:c r="H434" s="134" t="n">
        <x:v>0</x:v>
      </x:c>
      <x:c r="I434" s="134" t="n">
        <x:v>0</x:v>
      </x:c>
      <x:c r="J434" s="133" t="n">
        <x:v>0</x:v>
      </x:c>
      <x:c r="K434" s="133" t="n">
        <x:v>0</x:v>
      </x:c>
      <x:c r="L434" s="133" t="n">
        <x:v>0</x:v>
      </x:c>
      <x:c r="M434" s="133" t="n">
        <x:v>0</x:v>
      </x:c>
      <x:c r="N434" s="133" t="n">
        <x:v>0</x:v>
      </x:c>
      <x:c r="O434" s="133" t="n">
        <x:v>0</x:v>
      </x:c>
      <x:c r="P434" s="132"/>
    </x:row>
    <x:row r="435">
      <x:c r="A435" s="136" t="str">
        <x:v>01097000802</x:v>
      </x:c>
      <x:c r="B435" s="132" t="str">
        <x:v>Mobile County</x:v>
      </x:c>
      <x:c r="C435" s="132" t="n">
        <x:v>1</x:v>
      </x:c>
      <x:c r="D435" s="134" t="n">
        <x:v>1288</x:v>
      </x:c>
      <x:c r="E435" s="133" t="n">
        <x:v>16.1</x:v>
      </x:c>
      <x:c r="F435" s="134" t="n">
        <x:v>600</x:v>
      </x:c>
      <x:c r="G435" s="134" t="n">
        <x:v>0</x:v>
      </x:c>
      <x:c r="H435" s="134" t="n">
        <x:v>0</x:v>
      </x:c>
      <x:c r="I435" s="134" t="n">
        <x:v>0</x:v>
      </x:c>
      <x:c r="J435" s="133" t="n">
        <x:v>0</x:v>
      </x:c>
      <x:c r="K435" s="133" t="n">
        <x:v>0</x:v>
      </x:c>
      <x:c r="L435" s="133" t="n">
        <x:v>0</x:v>
      </x:c>
      <x:c r="M435" s="133" t="n">
        <x:v>0</x:v>
      </x:c>
      <x:c r="N435" s="133"/>
      <x:c r="O435" s="133" t="n">
        <x:v>0</x:v>
      </x:c>
      <x:c r="P435" s="132"/>
    </x:row>
    <x:row r="436">
      <x:c r="A436" s="136" t="str">
        <x:v>01097000901</x:v>
      </x:c>
      <x:c r="B436" s="132" t="str">
        <x:v>Mobile County</x:v>
      </x:c>
      <x:c r="C436" s="132" t="n">
        <x:v>1</x:v>
      </x:c>
      <x:c r="D436" s="134" t="n">
        <x:v>1543</x:v>
      </x:c>
      <x:c r="E436" s="133" t="n">
        <x:v>7.2</x:v>
      </x:c>
      <x:c r="F436" s="134" t="n">
        <x:v>1036</x:v>
      </x:c>
      <x:c r="G436" s="134" t="n">
        <x:v>0</x:v>
      </x:c>
      <x:c r="H436" s="134" t="n">
        <x:v>0</x:v>
      </x:c>
      <x:c r="I436" s="134" t="n">
        <x:v>0</x:v>
      </x:c>
      <x:c r="J436" s="133" t="n">
        <x:v>0</x:v>
      </x:c>
      <x:c r="K436" s="133" t="n">
        <x:v>0</x:v>
      </x:c>
      <x:c r="L436" s="133" t="n">
        <x:v>0</x:v>
      </x:c>
      <x:c r="M436" s="133" t="n">
        <x:v>0</x:v>
      </x:c>
      <x:c r="N436" s="133" t="n">
        <x:v>0</x:v>
      </x:c>
      <x:c r="O436" s="133" t="n">
        <x:v>0</x:v>
      </x:c>
      <x:c r="P436" s="132"/>
    </x:row>
    <x:row r="437">
      <x:c r="A437" s="136" t="str">
        <x:v>01097000902</x:v>
      </x:c>
      <x:c r="B437" s="132" t="str">
        <x:v>Mobile County</x:v>
      </x:c>
      <x:c r="C437" s="132" t="n">
        <x:v>1</x:v>
      </x:c>
      <x:c r="D437" s="134" t="n">
        <x:v>1914</x:v>
      </x:c>
      <x:c r="E437" s="133" t="n">
        <x:v>14.7</x:v>
      </x:c>
      <x:c r="F437" s="134" t="n">
        <x:v>1306</x:v>
      </x:c>
      <x:c r="G437" s="134" t="n">
        <x:v>0</x:v>
      </x:c>
      <x:c r="H437" s="134" t="n">
        <x:v>0</x:v>
      </x:c>
      <x:c r="I437" s="134" t="n">
        <x:v>0</x:v>
      </x:c>
      <x:c r="J437" s="133" t="n">
        <x:v>0</x:v>
      </x:c>
      <x:c r="K437" s="133" t="n">
        <x:v>0</x:v>
      </x:c>
      <x:c r="L437" s="133" t="n">
        <x:v>0</x:v>
      </x:c>
      <x:c r="M437" s="133" t="n">
        <x:v>0</x:v>
      </x:c>
      <x:c r="N437" s="133" t="n">
        <x:v>0</x:v>
      </x:c>
      <x:c r="O437" s="133" t="n">
        <x:v>0</x:v>
      </x:c>
      <x:c r="P437" s="132"/>
    </x:row>
    <x:row r="438">
      <x:c r="A438" s="136" t="str">
        <x:v>01097000903</x:v>
      </x:c>
      <x:c r="B438" s="132" t="str">
        <x:v>Mobile County</x:v>
      </x:c>
      <x:c r="C438" s="132" t="n">
        <x:v>1</x:v>
      </x:c>
      <x:c r="D438" s="134" t="n">
        <x:v>1454</x:v>
      </x:c>
      <x:c r="E438" s="133" t="n">
        <x:v>22.9</x:v>
      </x:c>
      <x:c r="F438" s="134" t="n">
        <x:v>1020</x:v>
      </x:c>
      <x:c r="G438" s="134" t="n">
        <x:v>0</x:v>
      </x:c>
      <x:c r="H438" s="134" t="n">
        <x:v>0</x:v>
      </x:c>
      <x:c r="I438" s="134" t="n">
        <x:v>0</x:v>
      </x:c>
      <x:c r="J438" s="133" t="n">
        <x:v>0</x:v>
      </x:c>
      <x:c r="K438" s="133" t="n">
        <x:v>0</x:v>
      </x:c>
      <x:c r="L438" s="133" t="n">
        <x:v>0</x:v>
      </x:c>
      <x:c r="M438" s="133" t="n">
        <x:v>0</x:v>
      </x:c>
      <x:c r="N438" s="133" t="n">
        <x:v>0</x:v>
      </x:c>
      <x:c r="O438" s="133" t="n">
        <x:v>0</x:v>
      </x:c>
      <x:c r="P438" s="132"/>
    </x:row>
    <x:row r="439">
      <x:c r="A439" s="136" t="str">
        <x:v>01097001001</x:v>
      </x:c>
      <x:c r="B439" s="132" t="str">
        <x:v>Mobile County</x:v>
      </x:c>
      <x:c r="C439" s="132" t="n">
        <x:v>1</x:v>
      </x:c>
      <x:c r="D439" s="134" t="n">
        <x:v>1513</x:v>
      </x:c>
      <x:c r="E439" s="133" t="n">
        <x:v>14.5</x:v>
      </x:c>
      <x:c r="F439" s="134" t="n">
        <x:v>934</x:v>
      </x:c>
      <x:c r="G439" s="134" t="n">
        <x:v>0</x:v>
      </x:c>
      <x:c r="H439" s="134" t="n">
        <x:v>0</x:v>
      </x:c>
      <x:c r="I439" s="134" t="n">
        <x:v>0</x:v>
      </x:c>
      <x:c r="J439" s="133" t="n">
        <x:v>0</x:v>
      </x:c>
      <x:c r="K439" s="133" t="n">
        <x:v>0</x:v>
      </x:c>
      <x:c r="L439" s="133" t="n">
        <x:v>0</x:v>
      </x:c>
      <x:c r="M439" s="133" t="n">
        <x:v>0</x:v>
      </x:c>
      <x:c r="N439" s="133" t="n">
        <x:v>0</x:v>
      </x:c>
      <x:c r="O439" s="133" t="n">
        <x:v>0</x:v>
      </x:c>
      <x:c r="P439" s="132"/>
    </x:row>
    <x:row r="440">
      <x:c r="A440" s="136" t="str">
        <x:v>01097001100</x:v>
      </x:c>
      <x:c r="B440" s="132" t="str">
        <x:v>Mobile County</x:v>
      </x:c>
      <x:c r="C440" s="132" t="n">
        <x:v>1</x:v>
      </x:c>
      <x:c r="D440" s="134" t="n">
        <x:v>2141</x:v>
      </x:c>
      <x:c r="E440" s="133" t="n">
        <x:v>18.1</x:v>
      </x:c>
      <x:c r="F440" s="134" t="n">
        <x:v>758</x:v>
      </x:c>
      <x:c r="G440" s="134" t="n">
        <x:v>0</x:v>
      </x:c>
      <x:c r="H440" s="134" t="n">
        <x:v>0</x:v>
      </x:c>
      <x:c r="I440" s="134" t="n">
        <x:v>0</x:v>
      </x:c>
      <x:c r="J440" s="133" t="n">
        <x:v>0</x:v>
      </x:c>
      <x:c r="K440" s="133" t="n">
        <x:v>0</x:v>
      </x:c>
      <x:c r="L440" s="133" t="n">
        <x:v>0</x:v>
      </x:c>
      <x:c r="M440" s="133" t="n">
        <x:v>0</x:v>
      </x:c>
      <x:c r="N440" s="133" t="n">
        <x:v>0</x:v>
      </x:c>
      <x:c r="O440" s="133" t="n">
        <x:v>0</x:v>
      </x:c>
      <x:c r="P440" s="132"/>
    </x:row>
    <x:row r="441">
      <x:c r="A441" s="136" t="str">
        <x:v>01097001302</x:v>
      </x:c>
      <x:c r="B441" s="132" t="str">
        <x:v>Mobile County</x:v>
      </x:c>
      <x:c r="C441" s="132" t="n">
        <x:v>1</x:v>
      </x:c>
      <x:c r="D441" s="134" t="n">
        <x:v>2402</x:v>
      </x:c>
      <x:c r="E441" s="133" t="n">
        <x:v>40.8</x:v>
      </x:c>
      <x:c r="F441" s="134" t="n">
        <x:v>578</x:v>
      </x:c>
      <x:c r="G441" s="134" t="n">
        <x:v>0</x:v>
      </x:c>
      <x:c r="H441" s="134" t="n">
        <x:v>0</x:v>
      </x:c>
      <x:c r="I441" s="134" t="n">
        <x:v>0</x:v>
      </x:c>
      <x:c r="J441" s="133" t="n">
        <x:v>0</x:v>
      </x:c>
      <x:c r="K441" s="133" t="n">
        <x:v>0</x:v>
      </x:c>
      <x:c r="L441" s="133" t="n">
        <x:v>0</x:v>
      </x:c>
      <x:c r="M441" s="133" t="n">
        <x:v>0</x:v>
      </x:c>
      <x:c r="N441" s="133" t="n">
        <x:v>0</x:v>
      </x:c>
      <x:c r="O441" s="133" t="n">
        <x:v>0</x:v>
      </x:c>
      <x:c r="P441" s="132"/>
    </x:row>
    <x:row r="442">
      <x:c r="A442" s="136" t="str">
        <x:v>01097001400</x:v>
      </x:c>
      <x:c r="B442" s="132" t="str">
        <x:v>Mobile County</x:v>
      </x:c>
      <x:c r="C442" s="132" t="n">
        <x:v>1</x:v>
      </x:c>
      <x:c r="D442" s="134" t="n">
        <x:v>1890</x:v>
      </x:c>
      <x:c r="E442" s="133" t="n">
        <x:v>35.7</x:v>
      </x:c>
      <x:c r="F442" s="134" t="n">
        <x:v>724</x:v>
      </x:c>
      <x:c r="G442" s="134" t="n">
        <x:v>0</x:v>
      </x:c>
      <x:c r="H442" s="134" t="n">
        <x:v>0</x:v>
      </x:c>
      <x:c r="I442" s="134" t="n">
        <x:v>0</x:v>
      </x:c>
      <x:c r="J442" s="133" t="n">
        <x:v>0</x:v>
      </x:c>
      <x:c r="K442" s="133" t="n">
        <x:v>0</x:v>
      </x:c>
      <x:c r="L442" s="133" t="n">
        <x:v>0</x:v>
      </x:c>
      <x:c r="M442" s="133" t="n">
        <x:v>0</x:v>
      </x:c>
      <x:c r="N442" s="133" t="n">
        <x:v>0</x:v>
      </x:c>
      <x:c r="O442" s="133" t="n">
        <x:v>0</x:v>
      </x:c>
      <x:c r="P442" s="132"/>
    </x:row>
    <x:row r="443">
      <x:c r="A443" s="136" t="str">
        <x:v>01097001501</x:v>
      </x:c>
      <x:c r="B443" s="132" t="str">
        <x:v>Mobile County</x:v>
      </x:c>
      <x:c r="C443" s="132" t="n">
        <x:v>1</x:v>
      </x:c>
      <x:c r="D443" s="134" t="n">
        <x:v>1142</x:v>
      </x:c>
      <x:c r="E443" s="133" t="n">
        <x:v>51.9</x:v>
      </x:c>
      <x:c r="F443" s="134" t="n">
        <x:v>157</x:v>
      </x:c>
      <x:c r="G443" s="134" t="n">
        <x:v>0</x:v>
      </x:c>
      <x:c r="H443" s="134" t="n">
        <x:v>0</x:v>
      </x:c>
      <x:c r="I443" s="134" t="n">
        <x:v>0</x:v>
      </x:c>
      <x:c r="J443" s="133" t="n">
        <x:v>0</x:v>
      </x:c>
      <x:c r="K443" s="133" t="n">
        <x:v>0</x:v>
      </x:c>
      <x:c r="L443" s="133" t="n">
        <x:v>0</x:v>
      </x:c>
      <x:c r="M443" s="133" t="n">
        <x:v>0</x:v>
      </x:c>
      <x:c r="N443" s="133" t="n">
        <x:v>0</x:v>
      </x:c>
      <x:c r="O443" s="133" t="n">
        <x:v>0</x:v>
      </x:c>
      <x:c r="P443" s="132"/>
    </x:row>
    <x:row r="444">
      <x:c r="A444" s="136" t="str">
        <x:v>01097001502</x:v>
      </x:c>
      <x:c r="B444" s="132" t="str">
        <x:v>Mobile County</x:v>
      </x:c>
      <x:c r="C444" s="132" t="n">
        <x:v>1</x:v>
      </x:c>
      <x:c r="D444" s="134" t="n">
        <x:v>1040</x:v>
      </x:c>
      <x:c r="E444" s="133" t="n">
        <x:v>55.5</x:v>
      </x:c>
      <x:c r="F444" s="134" t="n">
        <x:v>183</x:v>
      </x:c>
      <x:c r="G444" s="134" t="n">
        <x:v>0</x:v>
      </x:c>
      <x:c r="H444" s="134" t="n">
        <x:v>0</x:v>
      </x:c>
      <x:c r="I444" s="134" t="n">
        <x:v>0</x:v>
      </x:c>
      <x:c r="J444" s="133" t="n">
        <x:v>0</x:v>
      </x:c>
      <x:c r="K444" s="133" t="n">
        <x:v>0</x:v>
      </x:c>
      <x:c r="L444" s="133" t="n">
        <x:v>0</x:v>
      </x:c>
      <x:c r="M444" s="133" t="n">
        <x:v>0</x:v>
      </x:c>
      <x:c r="N444" s="133" t="n">
        <x:v>0</x:v>
      </x:c>
      <x:c r="O444" s="133" t="n">
        <x:v>0</x:v>
      </x:c>
      <x:c r="P444" s="132"/>
    </x:row>
    <x:row r="445">
      <x:c r="A445" s="136" t="str">
        <x:v>01097002000</x:v>
      </x:c>
      <x:c r="B445" s="132" t="str">
        <x:v>Mobile County</x:v>
      </x:c>
      <x:c r="C445" s="132" t="n">
        <x:v>0</x:v>
      </x:c>
      <x:c r="D445" s="134" t="n">
        <x:v>1801</x:v>
      </x:c>
      <x:c r="E445" s="133" t="n">
        <x:v>10.2</x:v>
      </x:c>
      <x:c r="F445" s="134" t="n">
        <x:v>1607</x:v>
      </x:c>
      <x:c r="G445" s="134" t="n">
        <x:v>0</x:v>
      </x:c>
      <x:c r="H445" s="134" t="n">
        <x:v>0</x:v>
      </x:c>
      <x:c r="I445" s="134" t="n">
        <x:v>0</x:v>
      </x:c>
      <x:c r="J445" s="133" t="n">
        <x:v>0</x:v>
      </x:c>
      <x:c r="K445" s="133" t="n">
        <x:v>0</x:v>
      </x:c>
      <x:c r="L445" s="133" t="n">
        <x:v>0</x:v>
      </x:c>
      <x:c r="M445" s="133" t="n">
        <x:v>0</x:v>
      </x:c>
      <x:c r="N445" s="133" t="n">
        <x:v>0</x:v>
      </x:c>
      <x:c r="O445" s="133" t="n">
        <x:v>0</x:v>
      </x:c>
      <x:c r="P445" s="132"/>
    </x:row>
    <x:row r="446">
      <x:c r="A446" s="136" t="str">
        <x:v>01097002400</x:v>
      </x:c>
      <x:c r="B446" s="132" t="str">
        <x:v>Mobile County</x:v>
      </x:c>
      <x:c r="C446" s="132" t="n">
        <x:v>1</x:v>
      </x:c>
      <x:c r="D446" s="134" t="n">
        <x:v>3269</x:v>
      </x:c>
      <x:c r="E446" s="133" t="n">
        <x:v>19.3</x:v>
      </x:c>
      <x:c r="F446" s="134" t="n">
        <x:v>1764</x:v>
      </x:c>
      <x:c r="G446" s="134" t="n">
        <x:v>0</x:v>
      </x:c>
      <x:c r="H446" s="134" t="n">
        <x:v>0</x:v>
      </x:c>
      <x:c r="I446" s="134" t="n">
        <x:v>0</x:v>
      </x:c>
      <x:c r="J446" s="133" t="n">
        <x:v>0</x:v>
      </x:c>
      <x:c r="K446" s="133" t="n">
        <x:v>0</x:v>
      </x:c>
      <x:c r="L446" s="133" t="n">
        <x:v>0</x:v>
      </x:c>
      <x:c r="M446" s="133" t="n">
        <x:v>0</x:v>
      </x:c>
      <x:c r="N446" s="133" t="n">
        <x:v>0</x:v>
      </x:c>
      <x:c r="O446" s="133" t="n">
        <x:v>0</x:v>
      </x:c>
      <x:c r="P446" s="132"/>
    </x:row>
    <x:row r="447">
      <x:c r="A447" s="136" t="str">
        <x:v>01097002700</x:v>
      </x:c>
      <x:c r="B447" s="132" t="str">
        <x:v>Mobile County</x:v>
      </x:c>
      <x:c r="C447" s="132" t="n">
        <x:v>1</x:v>
      </x:c>
      <x:c r="D447" s="134" t="n">
        <x:v>2251</x:v>
      </x:c>
      <x:c r="E447" s="133" t="n">
        <x:v>56.6</x:v>
      </x:c>
      <x:c r="F447" s="134" t="n">
        <x:v>536</x:v>
      </x:c>
      <x:c r="G447" s="134" t="n">
        <x:v>0</x:v>
      </x:c>
      <x:c r="H447" s="134" t="n">
        <x:v>0</x:v>
      </x:c>
      <x:c r="I447" s="134" t="n">
        <x:v>0</x:v>
      </x:c>
      <x:c r="J447" s="133" t="n">
        <x:v>0</x:v>
      </x:c>
      <x:c r="K447" s="133" t="n">
        <x:v>0</x:v>
      </x:c>
      <x:c r="L447" s="133" t="n">
        <x:v>0</x:v>
      </x:c>
      <x:c r="M447" s="133" t="n">
        <x:v>0</x:v>
      </x:c>
      <x:c r="N447" s="133" t="n">
        <x:v>0</x:v>
      </x:c>
      <x:c r="O447" s="133" t="n">
        <x:v>0</x:v>
      </x:c>
      <x:c r="P447" s="132"/>
    </x:row>
    <x:row r="448">
      <x:c r="A448" s="136" t="str">
        <x:v>01097002800</x:v>
      </x:c>
      <x:c r="B448" s="132" t="str">
        <x:v>Mobile County</x:v>
      </x:c>
      <x:c r="C448" s="132" t="n">
        <x:v>1</x:v>
      </x:c>
      <x:c r="D448" s="134" t="n">
        <x:v>4562</x:v>
      </x:c>
      <x:c r="E448" s="133" t="n">
        <x:v>15.3</x:v>
      </x:c>
      <x:c r="F448" s="134" t="n">
        <x:v>2353</x:v>
      </x:c>
      <x:c r="G448" s="134" t="n">
        <x:v>0</x:v>
      </x:c>
      <x:c r="H448" s="134" t="n">
        <x:v>0</x:v>
      </x:c>
      <x:c r="I448" s="134" t="n">
        <x:v>0</x:v>
      </x:c>
      <x:c r="J448" s="133" t="n">
        <x:v>0</x:v>
      </x:c>
      <x:c r="K448" s="133" t="n">
        <x:v>0</x:v>
      </x:c>
      <x:c r="L448" s="133" t="n">
        <x:v>0</x:v>
      </x:c>
      <x:c r="M448" s="133" t="n">
        <x:v>0</x:v>
      </x:c>
      <x:c r="N448" s="133" t="n">
        <x:v>0</x:v>
      </x:c>
      <x:c r="O448" s="133" t="n">
        <x:v>0</x:v>
      </x:c>
      <x:c r="P448" s="132"/>
    </x:row>
    <x:row r="449">
      <x:c r="A449" s="136" t="str">
        <x:v>01097003202</x:v>
      </x:c>
      <x:c r="B449" s="132" t="str">
        <x:v>Mobile County</x:v>
      </x:c>
      <x:c r="C449" s="132" t="n">
        <x:v>1</x:v>
      </x:c>
      <x:c r="D449" s="134" t="n">
        <x:v>2820</x:v>
      </x:c>
      <x:c r="E449" s="133" t="n">
        <x:v>24.8</x:v>
      </x:c>
      <x:c r="F449" s="134" t="n">
        <x:v>1135</x:v>
      </x:c>
      <x:c r="G449" s="134" t="n">
        <x:v>0</x:v>
      </x:c>
      <x:c r="H449" s="134" t="n">
        <x:v>0</x:v>
      </x:c>
      <x:c r="I449" s="134" t="n">
        <x:v>0</x:v>
      </x:c>
      <x:c r="J449" s="133" t="n">
        <x:v>0</x:v>
      </x:c>
      <x:c r="K449" s="133" t="n">
        <x:v>0</x:v>
      </x:c>
      <x:c r="L449" s="133" t="n">
        <x:v>0</x:v>
      </x:c>
      <x:c r="M449" s="133" t="n">
        <x:v>0</x:v>
      </x:c>
      <x:c r="N449" s="133" t="n">
        <x:v>0</x:v>
      </x:c>
      <x:c r="O449" s="133" t="n">
        <x:v>0</x:v>
      </x:c>
      <x:c r="P449" s="132"/>
    </x:row>
    <x:row r="450">
      <x:c r="A450" s="136" t="str">
        <x:v>01097003205</x:v>
      </x:c>
      <x:c r="B450" s="132" t="str">
        <x:v>Mobile County</x:v>
      </x:c>
      <x:c r="C450" s="132" t="n">
        <x:v>1</x:v>
      </x:c>
      <x:c r="D450" s="134" t="n">
        <x:v>2856</x:v>
      </x:c>
      <x:c r="E450" s="133" t="n">
        <x:v>31.2</x:v>
      </x:c>
      <x:c r="F450" s="134" t="n">
        <x:v>885</x:v>
      </x:c>
      <x:c r="G450" s="134" t="n">
        <x:v>0</x:v>
      </x:c>
      <x:c r="H450" s="134" t="n">
        <x:v>0</x:v>
      </x:c>
      <x:c r="I450" s="134" t="n">
        <x:v>0</x:v>
      </x:c>
      <x:c r="J450" s="133" t="n">
        <x:v>0</x:v>
      </x:c>
      <x:c r="K450" s="133" t="n">
        <x:v>0</x:v>
      </x:c>
      <x:c r="L450" s="133" t="n">
        <x:v>0</x:v>
      </x:c>
      <x:c r="M450" s="133" t="n">
        <x:v>0</x:v>
      </x:c>
      <x:c r="N450" s="133" t="n">
        <x:v>0</x:v>
      </x:c>
      <x:c r="O450" s="133" t="n">
        <x:v>0</x:v>
      </x:c>
      <x:c r="P450" s="132"/>
    </x:row>
    <x:row r="451">
      <x:c r="A451" s="136" t="str">
        <x:v>01097003206</x:v>
      </x:c>
      <x:c r="B451" s="132" t="str">
        <x:v>Mobile County</x:v>
      </x:c>
      <x:c r="C451" s="132" t="n">
        <x:v>1</x:v>
      </x:c>
      <x:c r="D451" s="134" t="n">
        <x:v>1052</x:v>
      </x:c>
      <x:c r="E451" s="133" t="n">
        <x:v>10.7</x:v>
      </x:c>
      <x:c r="F451" s="134" t="n">
        <x:v>974</x:v>
      </x:c>
      <x:c r="G451" s="134" t="n">
        <x:v>0</x:v>
      </x:c>
      <x:c r="H451" s="134" t="n">
        <x:v>0</x:v>
      </x:c>
      <x:c r="I451" s="134" t="n">
        <x:v>0</x:v>
      </x:c>
      <x:c r="J451" s="133" t="n">
        <x:v>0</x:v>
      </x:c>
      <x:c r="K451" s="133" t="n">
        <x:v>0</x:v>
      </x:c>
      <x:c r="L451" s="133" t="n">
        <x:v>0</x:v>
      </x:c>
      <x:c r="M451" s="133" t="n">
        <x:v>0</x:v>
      </x:c>
      <x:c r="N451" s="133" t="n">
        <x:v>0</x:v>
      </x:c>
      <x:c r="O451" s="133" t="n">
        <x:v>0</x:v>
      </x:c>
      <x:c r="P451" s="132"/>
    </x:row>
    <x:row r="452">
      <x:c r="A452" s="136" t="str">
        <x:v>01097003402</x:v>
      </x:c>
      <x:c r="B452" s="132" t="str">
        <x:v>Mobile County</x:v>
      </x:c>
      <x:c r="C452" s="132" t="n">
        <x:v>0</x:v>
      </x:c>
      <x:c r="D452" s="134" t="n">
        <x:v>3776</x:v>
      </x:c>
      <x:c r="E452" s="133" t="n">
        <x:v>17.1</x:v>
      </x:c>
      <x:c r="F452" s="134" t="n">
        <x:v>1646</x:v>
      </x:c>
      <x:c r="G452" s="134" t="n">
        <x:v>0</x:v>
      </x:c>
      <x:c r="H452" s="134" t="n">
        <x:v>0</x:v>
      </x:c>
      <x:c r="I452" s="134" t="n">
        <x:v>0</x:v>
      </x:c>
      <x:c r="J452" s="133" t="n">
        <x:v>0</x:v>
      </x:c>
      <x:c r="K452" s="133" t="n">
        <x:v>0</x:v>
      </x:c>
      <x:c r="L452" s="133" t="n">
        <x:v>0</x:v>
      </x:c>
      <x:c r="M452" s="133" t="n">
        <x:v>0</x:v>
      </x:c>
      <x:c r="N452" s="133" t="n">
        <x:v>0</x:v>
      </x:c>
      <x:c r="O452" s="133" t="n">
        <x:v>0</x:v>
      </x:c>
      <x:c r="P452" s="132"/>
    </x:row>
    <x:row r="453">
      <x:c r="A453" s="136" t="str">
        <x:v>01097003704</x:v>
      </x:c>
      <x:c r="B453" s="132" t="str">
        <x:v>Mobile County</x:v>
      </x:c>
      <x:c r="C453" s="132" t="n">
        <x:v>1</x:v>
      </x:c>
      <x:c r="D453" s="134" t="n">
        <x:v>4577</x:v>
      </x:c>
      <x:c r="E453" s="133" t="n">
        <x:v>9.1</x:v>
      </x:c>
      <x:c r="F453" s="134" t="n">
        <x:v>3304</x:v>
      </x:c>
      <x:c r="G453" s="134" t="n">
        <x:v>0</x:v>
      </x:c>
      <x:c r="H453" s="134" t="n">
        <x:v>0</x:v>
      </x:c>
      <x:c r="I453" s="134" t="n">
        <x:v>0</x:v>
      </x:c>
      <x:c r="J453" s="133" t="n">
        <x:v>0</x:v>
      </x:c>
      <x:c r="K453" s="133" t="n">
        <x:v>0</x:v>
      </x:c>
      <x:c r="L453" s="133" t="n">
        <x:v>0</x:v>
      </x:c>
      <x:c r="M453" s="133" t="n">
        <x:v>0</x:v>
      </x:c>
      <x:c r="N453" s="133" t="n">
        <x:v>0</x:v>
      </x:c>
      <x:c r="O453" s="133" t="n">
        <x:v>0</x:v>
      </x:c>
      <x:c r="P453" s="132"/>
    </x:row>
    <x:row r="454">
      <x:c r="A454" s="136" t="str">
        <x:v>01097003800</x:v>
      </x:c>
      <x:c r="B454" s="132" t="str">
        <x:v>Mobile County</x:v>
      </x:c>
      <x:c r="C454" s="132" t="n">
        <x:v>0</x:v>
      </x:c>
      <x:c r="D454" s="134" t="n">
        <x:v>1477</x:v>
      </x:c>
      <x:c r="E454" s="133" t="n">
        <x:v>12.9</x:v>
      </x:c>
      <x:c r="F454" s="134" t="n">
        <x:v>1087</x:v>
      </x:c>
      <x:c r="G454" s="134" t="n">
        <x:v>0</x:v>
      </x:c>
      <x:c r="H454" s="134" t="n">
        <x:v>0</x:v>
      </x:c>
      <x:c r="I454" s="134" t="n">
        <x:v>0</x:v>
      </x:c>
      <x:c r="J454" s="133" t="n">
        <x:v>0</x:v>
      </x:c>
      <x:c r="K454" s="133" t="n">
        <x:v>0</x:v>
      </x:c>
      <x:c r="L454" s="133" t="n">
        <x:v>0</x:v>
      </x:c>
      <x:c r="M454" s="133" t="n">
        <x:v>0</x:v>
      </x:c>
      <x:c r="N454" s="133" t="n">
        <x:v>0</x:v>
      </x:c>
      <x:c r="O454" s="133" t="n">
        <x:v>0</x:v>
      </x:c>
      <x:c r="P454" s="132"/>
    </x:row>
    <x:row r="455">
      <x:c r="A455" s="136" t="str">
        <x:v>01097003902</x:v>
      </x:c>
      <x:c r="B455" s="132" t="str">
        <x:v>Mobile County</x:v>
      </x:c>
      <x:c r="C455" s="132" t="n">
        <x:v>1</x:v>
      </x:c>
      <x:c r="D455" s="134" t="n">
        <x:v>809</x:v>
      </x:c>
      <x:c r="E455" s="133" t="n">
        <x:v>34.1</x:v>
      </x:c>
      <x:c r="F455" s="134" t="n">
        <x:v>205</x:v>
      </x:c>
      <x:c r="G455" s="134" t="n">
        <x:v>0</x:v>
      </x:c>
      <x:c r="H455" s="134" t="n">
        <x:v>0</x:v>
      </x:c>
      <x:c r="I455" s="134" t="n">
        <x:v>0</x:v>
      </x:c>
      <x:c r="J455" s="133" t="n">
        <x:v>0</x:v>
      </x:c>
      <x:c r="K455" s="133" t="n">
        <x:v>0</x:v>
      </x:c>
      <x:c r="L455" s="133" t="n">
        <x:v>0</x:v>
      </x:c>
      <x:c r="M455" s="133" t="n">
        <x:v>0</x:v>
      </x:c>
      <x:c r="N455" s="133" t="n">
        <x:v>0</x:v>
      </x:c>
      <x:c r="O455" s="133" t="n">
        <x:v>0</x:v>
      </x:c>
      <x:c r="P455" s="132"/>
    </x:row>
    <x:row r="456">
      <x:c r="A456" s="136" t="str">
        <x:v>01097004000</x:v>
      </x:c>
      <x:c r="B456" s="132" t="str">
        <x:v>Mobile County</x:v>
      </x:c>
      <x:c r="C456" s="132" t="n">
        <x:v>1</x:v>
      </x:c>
      <x:c r="D456" s="134" t="n">
        <x:v>2100</x:v>
      </x:c>
      <x:c r="E456" s="133" t="n">
        <x:v>42.4</x:v>
      </x:c>
      <x:c r="F456" s="134" t="n">
        <x:v>594</x:v>
      </x:c>
      <x:c r="G456" s="134" t="n">
        <x:v>0</x:v>
      </x:c>
      <x:c r="H456" s="134" t="n">
        <x:v>0</x:v>
      </x:c>
      <x:c r="I456" s="134" t="n">
        <x:v>0</x:v>
      </x:c>
      <x:c r="J456" s="133" t="n">
        <x:v>0</x:v>
      </x:c>
      <x:c r="K456" s="133" t="n">
        <x:v>0</x:v>
      </x:c>
      <x:c r="L456" s="133" t="n">
        <x:v>0</x:v>
      </x:c>
      <x:c r="M456" s="133" t="n">
        <x:v>0</x:v>
      </x:c>
      <x:c r="N456" s="133" t="n">
        <x:v>0</x:v>
      </x:c>
      <x:c r="O456" s="133" t="n">
        <x:v>0</x:v>
      </x:c>
      <x:c r="P456" s="132"/>
    </x:row>
    <x:row r="457">
      <x:c r="A457" s="136" t="str">
        <x:v>01097004100</x:v>
      </x:c>
      <x:c r="B457" s="132" t="str">
        <x:v>Mobile County</x:v>
      </x:c>
      <x:c r="C457" s="132" t="n">
        <x:v>1</x:v>
      </x:c>
      <x:c r="D457" s="134" t="n">
        <x:v>638</x:v>
      </x:c>
      <x:c r="E457" s="133" t="n">
        <x:v>39.4</x:v>
      </x:c>
      <x:c r="F457" s="134" t="n">
        <x:v>293</x:v>
      </x:c>
      <x:c r="G457" s="134" t="n">
        <x:v>0</x:v>
      </x:c>
      <x:c r="H457" s="134" t="n">
        <x:v>0</x:v>
      </x:c>
      <x:c r="I457" s="134" t="n">
        <x:v>0</x:v>
      </x:c>
      <x:c r="J457" s="133" t="n">
        <x:v>0</x:v>
      </x:c>
      <x:c r="K457" s="133" t="n">
        <x:v>0</x:v>
      </x:c>
      <x:c r="L457" s="133" t="n">
        <x:v>0</x:v>
      </x:c>
      <x:c r="M457" s="133" t="n">
        <x:v>0</x:v>
      </x:c>
      <x:c r="N457" s="133" t="n">
        <x:v>0</x:v>
      </x:c>
      <x:c r="O457" s="133" t="n">
        <x:v>0</x:v>
      </x:c>
      <x:c r="P457" s="132"/>
    </x:row>
    <x:row r="458">
      <x:c r="A458" s="136" t="str">
        <x:v>01097004800</x:v>
      </x:c>
      <x:c r="B458" s="132" t="str">
        <x:v>Mobile County</x:v>
      </x:c>
      <x:c r="C458" s="132" t="n">
        <x:v>1</x:v>
      </x:c>
      <x:c r="D458" s="134" t="n">
        <x:v>979</x:v>
      </x:c>
      <x:c r="E458" s="133" t="n">
        <x:v>54.5</x:v>
      </x:c>
      <x:c r="F458" s="134" t="n">
        <x:v>184</x:v>
      </x:c>
      <x:c r="G458" s="134" t="n">
        <x:v>0</x:v>
      </x:c>
      <x:c r="H458" s="134" t="n">
        <x:v>1</x:v>
      </x:c>
      <x:c r="I458" s="134" t="n">
        <x:v>0</x:v>
      </x:c>
      <x:c r="J458" s="133" t="n">
        <x:v>0.10214504596527069</x:v>
      </x:c>
      <x:c r="K458" s="133" t="n">
        <x:v>0</x:v>
      </x:c>
      <x:c r="L458" s="133" t="n">
        <x:v>0</x:v>
      </x:c>
      <x:c r="M458" s="133" t="n">
        <x:v>0</x:v>
      </x:c>
      <x:c r="N458" s="133" t="n">
        <x:v>0</x:v>
      </x:c>
      <x:c r="O458" s="133" t="n">
        <x:v>0</x:v>
      </x:c>
      <x:c r="P458" s="132"/>
    </x:row>
    <x:row r="459">
      <x:c r="A459" s="136" t="str">
        <x:v>01097005100</x:v>
      </x:c>
      <x:c r="B459" s="132" t="str">
        <x:v>Mobile County</x:v>
      </x:c>
      <x:c r="C459" s="132" t="n">
        <x:v>1</x:v>
      </x:c>
      <x:c r="D459" s="134" t="n">
        <x:v>1476</x:v>
      </x:c>
      <x:c r="E459" s="133" t="n">
        <x:v>33.5</x:v>
      </x:c>
      <x:c r="F459" s="134" t="n">
        <x:v>500</x:v>
      </x:c>
      <x:c r="G459" s="134" t="n">
        <x:v>0</x:v>
      </x:c>
      <x:c r="H459" s="134" t="n">
        <x:v>0</x:v>
      </x:c>
      <x:c r="I459" s="134" t="n">
        <x:v>0</x:v>
      </x:c>
      <x:c r="J459" s="133" t="n">
        <x:v>0</x:v>
      </x:c>
      <x:c r="K459" s="133" t="n">
        <x:v>0</x:v>
      </x:c>
      <x:c r="L459" s="133" t="n">
        <x:v>0</x:v>
      </x:c>
      <x:c r="M459" s="133" t="n">
        <x:v>0</x:v>
      </x:c>
      <x:c r="N459" s="133" t="n">
        <x:v>0</x:v>
      </x:c>
      <x:c r="O459" s="133" t="n">
        <x:v>0</x:v>
      </x:c>
      <x:c r="P459" s="132"/>
    </x:row>
    <x:row r="460">
      <x:c r="A460" s="136" t="str">
        <x:v>01097005200</x:v>
      </x:c>
      <x:c r="B460" s="132" t="str">
        <x:v>Mobile County</x:v>
      </x:c>
      <x:c r="C460" s="132" t="n">
        <x:v>1</x:v>
      </x:c>
      <x:c r="D460" s="134" t="n">
        <x:v>1618</x:v>
      </x:c>
      <x:c r="E460" s="133" t="n">
        <x:v>23.2</x:v>
      </x:c>
      <x:c r="F460" s="134" t="n">
        <x:v>731</x:v>
      </x:c>
      <x:c r="G460" s="134" t="n">
        <x:v>0</x:v>
      </x:c>
      <x:c r="H460" s="134" t="n">
        <x:v>0</x:v>
      </x:c>
      <x:c r="I460" s="134" t="n">
        <x:v>0</x:v>
      </x:c>
      <x:c r="J460" s="133" t="n">
        <x:v>0</x:v>
      </x:c>
      <x:c r="K460" s="133" t="n">
        <x:v>0</x:v>
      </x:c>
      <x:c r="L460" s="133" t="n">
        <x:v>0</x:v>
      </x:c>
      <x:c r="M460" s="133" t="n">
        <x:v>0</x:v>
      </x:c>
      <x:c r="N460" s="133" t="n">
        <x:v>0</x:v>
      </x:c>
      <x:c r="O460" s="133" t="n">
        <x:v>0</x:v>
      </x:c>
      <x:c r="P460" s="132"/>
    </x:row>
    <x:row r="461">
      <x:c r="A461" s="136" t="str">
        <x:v>01097005701</x:v>
      </x:c>
      <x:c r="B461" s="132" t="str">
        <x:v>Mobile County</x:v>
      </x:c>
      <x:c r="C461" s="132" t="n">
        <x:v>0</x:v>
      </x:c>
      <x:c r="D461" s="134" t="n">
        <x:v>4439</x:v>
      </x:c>
      <x:c r="E461" s="133" t="n">
        <x:v>8.4</x:v>
      </x:c>
      <x:c r="F461" s="134" t="n">
        <x:v>3012</x:v>
      </x:c>
      <x:c r="G461" s="134" t="n">
        <x:v>0</x:v>
      </x:c>
      <x:c r="H461" s="134" t="n">
        <x:v>0</x:v>
      </x:c>
      <x:c r="I461" s="134" t="n">
        <x:v>0</x:v>
      </x:c>
      <x:c r="J461" s="133" t="n">
        <x:v>0</x:v>
      </x:c>
      <x:c r="K461" s="133" t="n">
        <x:v>0</x:v>
      </x:c>
      <x:c r="L461" s="133" t="n">
        <x:v>0</x:v>
      </x:c>
      <x:c r="M461" s="133" t="n">
        <x:v>0</x:v>
      </x:c>
      <x:c r="N461" s="133" t="n">
        <x:v>0</x:v>
      </x:c>
      <x:c r="O461" s="133" t="n">
        <x:v>0</x:v>
      </x:c>
      <x:c r="P461" s="132"/>
    </x:row>
    <x:row r="462">
      <x:c r="A462" s="136" t="str">
        <x:v>01097006000</x:v>
      </x:c>
      <x:c r="B462" s="132" t="str">
        <x:v>Mobile County</x:v>
      </x:c>
      <x:c r="C462" s="132" t="n">
        <x:v>0</x:v>
      </x:c>
      <x:c r="D462" s="134" t="n">
        <x:v>5016</x:v>
      </x:c>
      <x:c r="E462" s="133" t="n">
        <x:v>23.8</x:v>
      </x:c>
      <x:c r="F462" s="134" t="n">
        <x:v>2844</x:v>
      </x:c>
      <x:c r="G462" s="134" t="n">
        <x:v>0</x:v>
      </x:c>
      <x:c r="H462" s="134" t="n">
        <x:v>0</x:v>
      </x:c>
      <x:c r="I462" s="134" t="n">
        <x:v>0</x:v>
      </x:c>
      <x:c r="J462" s="133" t="n">
        <x:v>0</x:v>
      </x:c>
      <x:c r="K462" s="133" t="n">
        <x:v>0</x:v>
      </x:c>
      <x:c r="L462" s="133" t="n">
        <x:v>0</x:v>
      </x:c>
      <x:c r="M462" s="133" t="n">
        <x:v>0</x:v>
      </x:c>
      <x:c r="N462" s="133"/>
      <x:c r="O462" s="133" t="n">
        <x:v>0</x:v>
      </x:c>
      <x:c r="P462" s="132"/>
    </x:row>
    <x:row r="463">
      <x:c r="A463" s="136" t="str">
        <x:v>01097006102</x:v>
      </x:c>
      <x:c r="B463" s="132" t="str">
        <x:v>Mobile County</x:v>
      </x:c>
      <x:c r="C463" s="132" t="n">
        <x:v>0</x:v>
      </x:c>
      <x:c r="D463" s="134" t="n">
        <x:v>2985</x:v>
      </x:c>
      <x:c r="E463" s="133" t="n">
        <x:v>12.1</x:v>
      </x:c>
      <x:c r="F463" s="134" t="n">
        <x:v>1874</x:v>
      </x:c>
      <x:c r="G463" s="134" t="n">
        <x:v>0</x:v>
      </x:c>
      <x:c r="H463" s="134" t="n">
        <x:v>0</x:v>
      </x:c>
      <x:c r="I463" s="134" t="n">
        <x:v>0</x:v>
      </x:c>
      <x:c r="J463" s="133" t="n">
        <x:v>0</x:v>
      </x:c>
      <x:c r="K463" s="133" t="n">
        <x:v>0</x:v>
      </x:c>
      <x:c r="L463" s="133" t="n">
        <x:v>0</x:v>
      </x:c>
      <x:c r="M463" s="133" t="n">
        <x:v>0</x:v>
      </x:c>
      <x:c r="N463" s="133" t="n">
        <x:v>0</x:v>
      </x:c>
      <x:c r="O463" s="133" t="n">
        <x:v>0</x:v>
      </x:c>
      <x:c r="P463" s="132"/>
    </x:row>
    <x:row r="464">
      <x:c r="A464" s="136" t="str">
        <x:v>01097006106</x:v>
      </x:c>
      <x:c r="B464" s="132" t="str">
        <x:v>Mobile County</x:v>
      </x:c>
      <x:c r="C464" s="132" t="n">
        <x:v>0</x:v>
      </x:c>
      <x:c r="D464" s="134" t="n">
        <x:v>2940</x:v>
      </x:c>
      <x:c r="E464" s="133" t="n">
        <x:v>5.4</x:v>
      </x:c>
      <x:c r="F464" s="134" t="n">
        <x:v>2111</x:v>
      </x:c>
      <x:c r="G464" s="134" t="n">
        <x:v>0</x:v>
      </x:c>
      <x:c r="H464" s="134" t="n">
        <x:v>0</x:v>
      </x:c>
      <x:c r="I464" s="134" t="n">
        <x:v>0</x:v>
      </x:c>
      <x:c r="J464" s="133" t="n">
        <x:v>0</x:v>
      </x:c>
      <x:c r="K464" s="133" t="n">
        <x:v>0</x:v>
      </x:c>
      <x:c r="L464" s="133" t="n">
        <x:v>0</x:v>
      </x:c>
      <x:c r="M464" s="133" t="n">
        <x:v>0</x:v>
      </x:c>
      <x:c r="N464" s="133" t="n">
        <x:v>0</x:v>
      </x:c>
      <x:c r="O464" s="133" t="n">
        <x:v>0</x:v>
      </x:c>
      <x:c r="P464" s="132"/>
    </x:row>
    <x:row r="465">
      <x:c r="A465" s="136" t="str">
        <x:v>01097006107</x:v>
      </x:c>
      <x:c r="B465" s="132" t="str">
        <x:v>Mobile County</x:v>
      </x:c>
      <x:c r="C465" s="132" t="n">
        <x:v>0</x:v>
      </x:c>
      <x:c r="D465" s="134" t="n">
        <x:v>4253</x:v>
      </x:c>
      <x:c r="E465" s="133" t="n">
        <x:v>16.1</x:v>
      </x:c>
      <x:c r="F465" s="134" t="n">
        <x:v>2382</x:v>
      </x:c>
      <x:c r="G465" s="134" t="n">
        <x:v>0</x:v>
      </x:c>
      <x:c r="H465" s="134" t="n">
        <x:v>0</x:v>
      </x:c>
      <x:c r="I465" s="134" t="n">
        <x:v>0</x:v>
      </x:c>
      <x:c r="J465" s="133" t="n">
        <x:v>0</x:v>
      </x:c>
      <x:c r="K465" s="133" t="n">
        <x:v>0</x:v>
      </x:c>
      <x:c r="L465" s="133" t="n">
        <x:v>0</x:v>
      </x:c>
      <x:c r="M465" s="133" t="n">
        <x:v>0</x:v>
      </x:c>
      <x:c r="N465" s="133" t="n">
        <x:v>0</x:v>
      </x:c>
      <x:c r="O465" s="133" t="n">
        <x:v>0</x:v>
      </x:c>
      <x:c r="P465" s="132"/>
    </x:row>
    <x:row r="466">
      <x:c r="A466" s="136" t="str">
        <x:v>01097006305</x:v>
      </x:c>
      <x:c r="B466" s="132" t="str">
        <x:v>Mobile County</x:v>
      </x:c>
      <x:c r="C466" s="132" t="n">
        <x:v>0</x:v>
      </x:c>
      <x:c r="D466" s="134" t="n">
        <x:v>3088</x:v>
      </x:c>
      <x:c r="E466" s="133" t="n">
        <x:v>4.7</x:v>
      </x:c>
      <x:c r="F466" s="134" t="n">
        <x:v>2125</x:v>
      </x:c>
      <x:c r="G466" s="134" t="n">
        <x:v>0</x:v>
      </x:c>
      <x:c r="H466" s="134" t="n">
        <x:v>0</x:v>
      </x:c>
      <x:c r="I466" s="134" t="n">
        <x:v>0</x:v>
      </x:c>
      <x:c r="J466" s="133" t="n">
        <x:v>0</x:v>
      </x:c>
      <x:c r="K466" s="133" t="n">
        <x:v>0</x:v>
      </x:c>
      <x:c r="L466" s="133" t="n">
        <x:v>0</x:v>
      </x:c>
      <x:c r="M466" s="133" t="n">
        <x:v>0</x:v>
      </x:c>
      <x:c r="N466" s="133" t="n">
        <x:v>0</x:v>
      </x:c>
      <x:c r="O466" s="133" t="n">
        <x:v>0</x:v>
      </x:c>
      <x:c r="P466" s="132"/>
    </x:row>
    <x:row r="467">
      <x:c r="A467" s="136" t="str">
        <x:v>01097006501</x:v>
      </x:c>
      <x:c r="B467" s="132" t="str">
        <x:v>Mobile County</x:v>
      </x:c>
      <x:c r="C467" s="132" t="n">
        <x:v>0</x:v>
      </x:c>
      <x:c r="D467" s="134" t="n">
        <x:v>5349</x:v>
      </x:c>
      <x:c r="E467" s="133" t="n">
        <x:v>19.9</x:v>
      </x:c>
      <x:c r="F467" s="134" t="n">
        <x:v>3222</x:v>
      </x:c>
      <x:c r="G467" s="134" t="n">
        <x:v>0</x:v>
      </x:c>
      <x:c r="H467" s="134" t="n">
        <x:v>0</x:v>
      </x:c>
      <x:c r="I467" s="134" t="n">
        <x:v>0</x:v>
      </x:c>
      <x:c r="J467" s="133" t="n">
        <x:v>0</x:v>
      </x:c>
      <x:c r="K467" s="133" t="n">
        <x:v>0</x:v>
      </x:c>
      <x:c r="L467" s="133" t="n">
        <x:v>0</x:v>
      </x:c>
      <x:c r="M467" s="133" t="n">
        <x:v>0</x:v>
      </x:c>
      <x:c r="N467" s="133" t="n">
        <x:v>0</x:v>
      </x:c>
      <x:c r="O467" s="133" t="n">
        <x:v>0</x:v>
      </x:c>
      <x:c r="P467" s="132"/>
    </x:row>
    <x:row r="468">
      <x:c r="A468" s="136" t="str">
        <x:v>01097006504</x:v>
      </x:c>
      <x:c r="B468" s="132" t="str">
        <x:v>Mobile County</x:v>
      </x:c>
      <x:c r="C468" s="132" t="n">
        <x:v>0</x:v>
      </x:c>
      <x:c r="D468" s="134" t="n">
        <x:v>4215</x:v>
      </x:c>
      <x:c r="E468" s="133" t="n">
        <x:v>10.8</x:v>
      </x:c>
      <x:c r="F468" s="134" t="n">
        <x:v>2980</x:v>
      </x:c>
      <x:c r="G468" s="134" t="n">
        <x:v>0</x:v>
      </x:c>
      <x:c r="H468" s="134" t="n">
        <x:v>0</x:v>
      </x:c>
      <x:c r="I468" s="134" t="n">
        <x:v>0</x:v>
      </x:c>
      <x:c r="J468" s="133" t="n">
        <x:v>0</x:v>
      </x:c>
      <x:c r="K468" s="133" t="n">
        <x:v>0</x:v>
      </x:c>
      <x:c r="L468" s="133" t="n">
        <x:v>0</x:v>
      </x:c>
      <x:c r="M468" s="133" t="n">
        <x:v>0</x:v>
      </x:c>
      <x:c r="N468" s="133" t="n">
        <x:v>0</x:v>
      </x:c>
      <x:c r="O468" s="133" t="n">
        <x:v>0</x:v>
      </x:c>
      <x:c r="P468" s="132"/>
    </x:row>
    <x:row r="469">
      <x:c r="A469" s="136" t="str">
        <x:v>01097006505</x:v>
      </x:c>
      <x:c r="B469" s="132" t="str">
        <x:v>Mobile County</x:v>
      </x:c>
      <x:c r="C469" s="132" t="n">
        <x:v>0</x:v>
      </x:c>
      <x:c r="D469" s="134" t="n">
        <x:v>5262</x:v>
      </x:c>
      <x:c r="E469" s="133" t="n">
        <x:v>5</x:v>
      </x:c>
      <x:c r="F469" s="134" t="n">
        <x:v>5079</x:v>
      </x:c>
      <x:c r="G469" s="134" t="n">
        <x:v>0</x:v>
      </x:c>
      <x:c r="H469" s="134" t="n">
        <x:v>0</x:v>
      </x:c>
      <x:c r="I469" s="134" t="n">
        <x:v>0</x:v>
      </x:c>
      <x:c r="J469" s="133" t="n">
        <x:v>0</x:v>
      </x:c>
      <x:c r="K469" s="133" t="n">
        <x:v>0</x:v>
      </x:c>
      <x:c r="L469" s="133" t="n">
        <x:v>0</x:v>
      </x:c>
      <x:c r="M469" s="133" t="n">
        <x:v>0</x:v>
      </x:c>
      <x:c r="N469" s="133" t="n">
        <x:v>0</x:v>
      </x:c>
      <x:c r="O469" s="133" t="n">
        <x:v>0</x:v>
      </x:c>
      <x:c r="P469" s="132"/>
    </x:row>
    <x:row r="470">
      <x:c r="A470" s="136" t="str">
        <x:v>01097006702</x:v>
      </x:c>
      <x:c r="B470" s="132" t="str">
        <x:v>Mobile County</x:v>
      </x:c>
      <x:c r="C470" s="132" t="n">
        <x:v>0</x:v>
      </x:c>
      <x:c r="D470" s="134" t="n">
        <x:v>3772</x:v>
      </x:c>
      <x:c r="E470" s="133" t="n">
        <x:v>18.8</x:v>
      </x:c>
      <x:c r="F470" s="134" t="n">
        <x:v>2130</x:v>
      </x:c>
      <x:c r="G470" s="134" t="n">
        <x:v>0</x:v>
      </x:c>
      <x:c r="H470" s="134" t="n">
        <x:v>0</x:v>
      </x:c>
      <x:c r="I470" s="134" t="n">
        <x:v>0</x:v>
      </x:c>
      <x:c r="J470" s="133" t="n">
        <x:v>0</x:v>
      </x:c>
      <x:c r="K470" s="133" t="n">
        <x:v>0</x:v>
      </x:c>
      <x:c r="L470" s="133" t="n">
        <x:v>0</x:v>
      </x:c>
      <x:c r="M470" s="133" t="n">
        <x:v>0</x:v>
      </x:c>
      <x:c r="N470" s="133" t="n">
        <x:v>0</x:v>
      </x:c>
      <x:c r="O470" s="133" t="n">
        <x:v>0</x:v>
      </x:c>
      <x:c r="P470" s="132"/>
    </x:row>
    <x:row r="471">
      <x:c r="A471" s="136" t="str">
        <x:v>01097006703</x:v>
      </x:c>
      <x:c r="B471" s="132" t="str">
        <x:v>Mobile County</x:v>
      </x:c>
      <x:c r="C471" s="132" t="n">
        <x:v>0</x:v>
      </x:c>
      <x:c r="D471" s="134" t="n">
        <x:v>2668</x:v>
      </x:c>
      <x:c r="E471" s="133" t="n">
        <x:v>10.4</x:v>
      </x:c>
      <x:c r="F471" s="134" t="n">
        <x:v>1636</x:v>
      </x:c>
      <x:c r="G471" s="134" t="n">
        <x:v>0</x:v>
      </x:c>
      <x:c r="H471" s="134" t="n">
        <x:v>0</x:v>
      </x:c>
      <x:c r="I471" s="134" t="n">
        <x:v>0</x:v>
      </x:c>
      <x:c r="J471" s="133" t="n">
        <x:v>0</x:v>
      </x:c>
      <x:c r="K471" s="133" t="n">
        <x:v>0</x:v>
      </x:c>
      <x:c r="L471" s="133" t="n">
        <x:v>0</x:v>
      </x:c>
      <x:c r="M471" s="133" t="n">
        <x:v>0</x:v>
      </x:c>
      <x:c r="N471" s="133" t="n">
        <x:v>0</x:v>
      </x:c>
      <x:c r="O471" s="133" t="n">
        <x:v>0</x:v>
      </x:c>
      <x:c r="P471" s="132"/>
    </x:row>
    <x:row r="472">
      <x:c r="A472" s="136" t="str">
        <x:v>01097006704</x:v>
      </x:c>
      <x:c r="B472" s="132" t="str">
        <x:v>Mobile County</x:v>
      </x:c>
      <x:c r="C472" s="132" t="n">
        <x:v>0</x:v>
      </x:c>
      <x:c r="D472" s="134" t="n">
        <x:v>4216</x:v>
      </x:c>
      <x:c r="E472" s="133" t="n">
        <x:v>15.9</x:v>
      </x:c>
      <x:c r="F472" s="134" t="n">
        <x:v>2520</x:v>
      </x:c>
      <x:c r="G472" s="134" t="n">
        <x:v>0</x:v>
      </x:c>
      <x:c r="H472" s="134" t="n">
        <x:v>0</x:v>
      </x:c>
      <x:c r="I472" s="134" t="n">
        <x:v>0</x:v>
      </x:c>
      <x:c r="J472" s="133" t="n">
        <x:v>0</x:v>
      </x:c>
      <x:c r="K472" s="133" t="n">
        <x:v>0</x:v>
      </x:c>
      <x:c r="L472" s="133" t="n">
        <x:v>0</x:v>
      </x:c>
      <x:c r="M472" s="133" t="n">
        <x:v>0</x:v>
      </x:c>
      <x:c r="N472" s="133" t="n">
        <x:v>0</x:v>
      </x:c>
      <x:c r="O472" s="133" t="n">
        <x:v>0</x:v>
      </x:c>
      <x:c r="P472" s="132"/>
    </x:row>
    <x:row r="473">
      <x:c r="A473" s="136" t="str">
        <x:v>01097007103</x:v>
      </x:c>
      <x:c r="B473" s="132" t="str">
        <x:v>Mobile County</x:v>
      </x:c>
      <x:c r="C473" s="132" t="n">
        <x:v>0</x:v>
      </x:c>
      <x:c r="D473" s="134" t="n">
        <x:v>3377</x:v>
      </x:c>
      <x:c r="E473" s="133" t="n">
        <x:v>7.1</x:v>
      </x:c>
      <x:c r="F473" s="134" t="n">
        <x:v>2798</x:v>
      </x:c>
      <x:c r="G473" s="134" t="n">
        <x:v>0</x:v>
      </x:c>
      <x:c r="H473" s="134" t="n">
        <x:v>0</x:v>
      </x:c>
      <x:c r="I473" s="134" t="n">
        <x:v>0</x:v>
      </x:c>
      <x:c r="J473" s="133" t="n">
        <x:v>0</x:v>
      </x:c>
      <x:c r="K473" s="133" t="n">
        <x:v>0</x:v>
      </x:c>
      <x:c r="L473" s="133" t="n">
        <x:v>0</x:v>
      </x:c>
      <x:c r="M473" s="133" t="n">
        <x:v>0</x:v>
      </x:c>
      <x:c r="N473" s="133" t="n">
        <x:v>0</x:v>
      </x:c>
      <x:c r="O473" s="133" t="n">
        <x:v>0</x:v>
      </x:c>
      <x:c r="P473" s="132"/>
    </x:row>
    <x:row r="474">
      <x:c r="A474" s="136" t="str">
        <x:v>01097007201</x:v>
      </x:c>
      <x:c r="B474" s="132" t="str">
        <x:v>Mobile County</x:v>
      </x:c>
      <x:c r="C474" s="132" t="n">
        <x:v>0</x:v>
      </x:c>
      <x:c r="D474" s="134" t="n">
        <x:v>2855</x:v>
      </x:c>
      <x:c r="E474" s="133" t="n">
        <x:v>8.9</x:v>
      </x:c>
      <x:c r="F474" s="134" t="n">
        <x:v>1639</x:v>
      </x:c>
      <x:c r="G474" s="134" t="n">
        <x:v>0</x:v>
      </x:c>
      <x:c r="H474" s="134" t="n">
        <x:v>0</x:v>
      </x:c>
      <x:c r="I474" s="134" t="n">
        <x:v>0</x:v>
      </x:c>
      <x:c r="J474" s="133" t="n">
        <x:v>0</x:v>
      </x:c>
      <x:c r="K474" s="133" t="n">
        <x:v>0</x:v>
      </x:c>
      <x:c r="L474" s="133" t="n">
        <x:v>0</x:v>
      </x:c>
      <x:c r="M474" s="133" t="n">
        <x:v>0</x:v>
      </x:c>
      <x:c r="N474" s="133" t="n">
        <x:v>0</x:v>
      </x:c>
      <x:c r="O474" s="133" t="n">
        <x:v>0</x:v>
      </x:c>
      <x:c r="P474" s="132"/>
    </x:row>
    <x:row r="475">
      <x:c r="A475" s="136" t="str">
        <x:v>01097007203</x:v>
      </x:c>
      <x:c r="B475" s="132" t="str">
        <x:v>Mobile County</x:v>
      </x:c>
      <x:c r="C475" s="132" t="n">
        <x:v>0</x:v>
      </x:c>
      <x:c r="D475" s="134" t="n">
        <x:v>1778</x:v>
      </x:c>
      <x:c r="E475" s="133" t="n">
        <x:v>6.6</x:v>
      </x:c>
      <x:c r="F475" s="134" t="n">
        <x:v>1611</x:v>
      </x:c>
      <x:c r="G475" s="134" t="n">
        <x:v>0</x:v>
      </x:c>
      <x:c r="H475" s="134" t="n">
        <x:v>0</x:v>
      </x:c>
      <x:c r="I475" s="134" t="n">
        <x:v>0</x:v>
      </x:c>
      <x:c r="J475" s="133" t="n">
        <x:v>0</x:v>
      </x:c>
      <x:c r="K475" s="133" t="n">
        <x:v>0</x:v>
      </x:c>
      <x:c r="L475" s="133" t="n">
        <x:v>0</x:v>
      </x:c>
      <x:c r="M475" s="133" t="n">
        <x:v>0</x:v>
      </x:c>
      <x:c r="N475" s="133" t="n">
        <x:v>0</x:v>
      </x:c>
      <x:c r="O475" s="133" t="n">
        <x:v>0</x:v>
      </x:c>
      <x:c r="P475" s="132"/>
    </x:row>
    <x:row r="476">
      <x:c r="A476" s="136" t="str">
        <x:v>01097007204</x:v>
      </x:c>
      <x:c r="B476" s="132" t="str">
        <x:v>Mobile County</x:v>
      </x:c>
      <x:c r="C476" s="132" t="n">
        <x:v>0</x:v>
      </x:c>
      <x:c r="D476" s="134" t="n">
        <x:v>1531</x:v>
      </x:c>
      <x:c r="E476" s="133" t="n">
        <x:v>5.8</x:v>
      </x:c>
      <x:c r="F476" s="134" t="n">
        <x:v>1302</x:v>
      </x:c>
      <x:c r="G476" s="134" t="n">
        <x:v>0</x:v>
      </x:c>
      <x:c r="H476" s="134" t="n">
        <x:v>0</x:v>
      </x:c>
      <x:c r="I476" s="134" t="n">
        <x:v>0</x:v>
      </x:c>
      <x:c r="J476" s="133" t="n">
        <x:v>0</x:v>
      </x:c>
      <x:c r="K476" s="133" t="n">
        <x:v>0</x:v>
      </x:c>
      <x:c r="L476" s="133" t="n">
        <x:v>0</x:v>
      </x:c>
      <x:c r="M476" s="133" t="n">
        <x:v>0</x:v>
      </x:c>
      <x:c r="N476" s="133" t="n">
        <x:v>0</x:v>
      </x:c>
      <x:c r="O476" s="133" t="n">
        <x:v>0</x:v>
      </x:c>
      <x:c r="P476" s="132"/>
    </x:row>
    <x:row r="477">
      <x:c r="A477" s="136" t="str">
        <x:v>01097007300</x:v>
      </x:c>
      <x:c r="B477" s="132" t="str">
        <x:v>Mobile County</x:v>
      </x:c>
      <x:c r="C477" s="132" t="n">
        <x:v>0</x:v>
      </x:c>
      <x:c r="D477" s="134" t="n">
        <x:v>4030</x:v>
      </x:c>
      <x:c r="E477" s="133" t="n">
        <x:v>30</x:v>
      </x:c>
      <x:c r="F477" s="134" t="n">
        <x:v>1368</x:v>
      </x:c>
      <x:c r="G477" s="134" t="n">
        <x:v>0</x:v>
      </x:c>
      <x:c r="H477" s="134" t="n">
        <x:v>0</x:v>
      </x:c>
      <x:c r="I477" s="134" t="n">
        <x:v>0</x:v>
      </x:c>
      <x:c r="J477" s="133" t="n">
        <x:v>0</x:v>
      </x:c>
      <x:c r="K477" s="133" t="n">
        <x:v>0</x:v>
      </x:c>
      <x:c r="L477" s="133" t="n">
        <x:v>0</x:v>
      </x:c>
      <x:c r="M477" s="133" t="n">
        <x:v>0</x:v>
      </x:c>
      <x:c r="N477" s="133" t="n">
        <x:v>0</x:v>
      </x:c>
      <x:c r="O477" s="133" t="n">
        <x:v>0</x:v>
      </x:c>
      <x:c r="P477" s="132"/>
    </x:row>
    <x:row r="478">
      <x:c r="A478" s="136" t="str">
        <x:v>01097007500</x:v>
      </x:c>
      <x:c r="B478" s="132" t="str">
        <x:v>Mobile County</x:v>
      </x:c>
      <x:c r="C478" s="132" t="n">
        <x:v>1</x:v>
      </x:c>
      <x:c r="D478" s="134" t="n">
        <x:v>1346</x:v>
      </x:c>
      <x:c r="E478" s="133" t="n">
        <x:v>22.9</x:v>
      </x:c>
      <x:c r="F478" s="134" t="n">
        <x:v>359</x:v>
      </x:c>
      <x:c r="G478" s="134" t="n">
        <x:v>0</x:v>
      </x:c>
      <x:c r="H478" s="134" t="n">
        <x:v>0</x:v>
      </x:c>
      <x:c r="I478" s="134" t="n">
        <x:v>0</x:v>
      </x:c>
      <x:c r="J478" s="133" t="n">
        <x:v>0</x:v>
      </x:c>
      <x:c r="K478" s="133" t="n">
        <x:v>0</x:v>
      </x:c>
      <x:c r="L478" s="133" t="n">
        <x:v>0</x:v>
      </x:c>
      <x:c r="M478" s="133" t="n">
        <x:v>0</x:v>
      </x:c>
      <x:c r="N478" s="133" t="n">
        <x:v>0</x:v>
      </x:c>
      <x:c r="O478" s="133" t="n">
        <x:v>0</x:v>
      </x:c>
      <x:c r="P478" s="132"/>
    </x:row>
    <x:row r="479">
      <x:c r="A479" s="136" t="str">
        <x:v>01097007700</x:v>
      </x:c>
      <x:c r="B479" s="132" t="str">
        <x:v>Mobile County</x:v>
      </x:c>
      <x:c r="C479" s="132" t="n">
        <x:v>1</x:v>
      </x:c>
      <x:c r="D479" s="134" t="n">
        <x:v>1154</x:v>
      </x:c>
      <x:c r="E479" s="133" t="n">
        <x:v>29.1</x:v>
      </x:c>
      <x:c r="F479" s="134" t="n">
        <x:v>517</x:v>
      </x:c>
      <x:c r="G479" s="134" t="n">
        <x:v>0</x:v>
      </x:c>
      <x:c r="H479" s="134" t="n">
        <x:v>0</x:v>
      </x:c>
      <x:c r="I479" s="134" t="n">
        <x:v>0</x:v>
      </x:c>
      <x:c r="J479" s="133" t="n">
        <x:v>0</x:v>
      </x:c>
      <x:c r="K479" s="133" t="n">
        <x:v>0</x:v>
      </x:c>
      <x:c r="L479" s="133" t="n">
        <x:v>0</x:v>
      </x:c>
      <x:c r="M479" s="133" t="n">
        <x:v>0</x:v>
      </x:c>
      <x:c r="N479" s="133" t="n">
        <x:v>0</x:v>
      </x:c>
      <x:c r="O479" s="133" t="n">
        <x:v>0</x:v>
      </x:c>
      <x:c r="P479" s="132"/>
    </x:row>
    <x:row r="480">
      <x:c r="A480" s="136" t="str">
        <x:v>01097980000</x:v>
      </x:c>
      <x:c r="B480" s="132" t="str">
        <x:v>Mobile County</x:v>
      </x:c>
      <x:c r="C480" s="132" t="n">
        <x:v>1</x:v>
      </x:c>
      <x:c r="D480" s="134" t="n">
        <x:v>2022</x:v>
      </x:c>
      <x:c r="E480" s="133"/>
      <x:c r="F480" s="134" t="n">
        <x:v>0</x:v>
      </x:c>
      <x:c r="G480" s="134" t="n">
        <x:v>0</x:v>
      </x:c>
      <x:c r="H480" s="134" t="n">
        <x:v>0</x:v>
      </x:c>
      <x:c r="I480" s="134" t="n">
        <x:v>0</x:v>
      </x:c>
      <x:c r="J480" s="133" t="n">
        <x:v>0</x:v>
      </x:c>
      <x:c r="K480" s="133"/>
      <x:c r="L480" s="133" t="n">
        <x:v>0</x:v>
      </x:c>
      <x:c r="M480" s="133"/>
      <x:c r="N480" s="133"/>
      <x:c r="O480" s="133"/>
      <x:c r="P480" s="132"/>
    </x:row>
    <x:row r="481">
      <x:c r="A481" s="136" t="str">
        <x:v>01097990000</x:v>
      </x:c>
      <x:c r="B481" s="132" t="str">
        <x:v>Mobile County</x:v>
      </x:c>
      <x:c r="C481" s="132" t="n">
        <x:v>0</x:v>
      </x:c>
      <x:c r="D481" s="134" t="n">
        <x:v>0</x:v>
      </x:c>
      <x:c r="E481" s="133"/>
      <x:c r="F481" s="134" t="n">
        <x:v>0</x:v>
      </x:c>
      <x:c r="G481" s="134" t="n">
        <x:v>0</x:v>
      </x:c>
      <x:c r="H481" s="134" t="n">
        <x:v>0</x:v>
      </x:c>
      <x:c r="I481" s="134" t="n">
        <x:v>0</x:v>
      </x:c>
      <x:c r="J481" s="133"/>
      <x:c r="K481" s="133"/>
      <x:c r="L481" s="133"/>
      <x:c r="M481" s="133"/>
      <x:c r="N481" s="133"/>
      <x:c r="O481" s="133"/>
      <x:c r="P481" s="132"/>
    </x:row>
    <x:row r="482">
      <x:c r="A482" s="136" t="str">
        <x:v>01099076000</x:v>
      </x:c>
      <x:c r="B482" s="132" t="str">
        <x:v>Monroe County</x:v>
      </x:c>
      <x:c r="C482" s="132" t="n">
        <x:v>0</x:v>
      </x:c>
      <x:c r="D482" s="134" t="n">
        <x:v>3093</x:v>
      </x:c>
      <x:c r="E482" s="133" t="n">
        <x:v>24.9</x:v>
      </x:c>
      <x:c r="F482" s="134" t="n">
        <x:v>1463</x:v>
      </x:c>
      <x:c r="G482" s="134" t="n">
        <x:v>0</x:v>
      </x:c>
      <x:c r="H482" s="134" t="n">
        <x:v>0</x:v>
      </x:c>
      <x:c r="I482" s="134" t="n">
        <x:v>0</x:v>
      </x:c>
      <x:c r="J482" s="133" t="n">
        <x:v>0</x:v>
      </x:c>
      <x:c r="K482" s="133" t="n">
        <x:v>0</x:v>
      </x:c>
      <x:c r="L482" s="133" t="n">
        <x:v>0</x:v>
      </x:c>
      <x:c r="M482" s="133" t="n">
        <x:v>0</x:v>
      </x:c>
      <x:c r="N482" s="133" t="n">
        <x:v>0</x:v>
      </x:c>
      <x:c r="O482" s="133" t="n">
        <x:v>0</x:v>
      </x:c>
      <x:c r="P482" s="132"/>
    </x:row>
    <x:row r="483">
      <x:c r="A483" s="136" t="str">
        <x:v>01099076102</x:v>
      </x:c>
      <x:c r="B483" s="132" t="str">
        <x:v>Monroe County</x:v>
      </x:c>
      <x:c r="C483" s="132" t="n">
        <x:v>0</x:v>
      </x:c>
      <x:c r="D483" s="134" t="n">
        <x:v>4114</x:v>
      </x:c>
      <x:c r="E483" s="133" t="n">
        <x:v>19</x:v>
      </x:c>
      <x:c r="F483" s="134" t="n">
        <x:v>2115</x:v>
      </x:c>
      <x:c r="G483" s="134" t="n">
        <x:v>0</x:v>
      </x:c>
      <x:c r="H483" s="134" t="n">
        <x:v>0</x:v>
      </x:c>
      <x:c r="I483" s="134" t="n">
        <x:v>0</x:v>
      </x:c>
      <x:c r="J483" s="133" t="n">
        <x:v>0</x:v>
      </x:c>
      <x:c r="K483" s="133" t="n">
        <x:v>0</x:v>
      </x:c>
      <x:c r="L483" s="133" t="n">
        <x:v>0</x:v>
      </x:c>
      <x:c r="M483" s="133" t="n">
        <x:v>0</x:v>
      </x:c>
      <x:c r="N483" s="133" t="n">
        <x:v>0</x:v>
      </x:c>
      <x:c r="O483" s="133" t="n">
        <x:v>0</x:v>
      </x:c>
      <x:c r="P483" s="132"/>
    </x:row>
    <x:row r="484">
      <x:c r="A484" s="136" t="str">
        <x:v>01101000100</x:v>
      </x:c>
      <x:c r="B484" s="132" t="str">
        <x:v>Montgomery County</x:v>
      </x:c>
      <x:c r="C484" s="132" t="n">
        <x:v>1</x:v>
      </x:c>
      <x:c r="D484" s="134" t="n">
        <x:v>982</x:v>
      </x:c>
      <x:c r="E484" s="133" t="n">
        <x:v>31</x:v>
      </x:c>
      <x:c r="F484" s="134" t="n">
        <x:v>542</x:v>
      </x:c>
      <x:c r="G484" s="134" t="n">
        <x:v>0</x:v>
      </x:c>
      <x:c r="H484" s="134" t="n">
        <x:v>0</x:v>
      </x:c>
      <x:c r="I484" s="134" t="n">
        <x:v>0</x:v>
      </x:c>
      <x:c r="J484" s="133" t="n">
        <x:v>0</x:v>
      </x:c>
      <x:c r="K484" s="133" t="n">
        <x:v>0</x:v>
      </x:c>
      <x:c r="L484" s="133" t="n">
        <x:v>0</x:v>
      </x:c>
      <x:c r="M484" s="133" t="n">
        <x:v>0</x:v>
      </x:c>
      <x:c r="N484" s="133" t="n">
        <x:v>0</x:v>
      </x:c>
      <x:c r="O484" s="133" t="n">
        <x:v>0</x:v>
      </x:c>
      <x:c r="P484" s="132"/>
    </x:row>
    <x:row r="485">
      <x:c r="A485" s="136" t="str">
        <x:v>01101000200</x:v>
      </x:c>
      <x:c r="B485" s="132" t="str">
        <x:v>Montgomery County</x:v>
      </x:c>
      <x:c r="C485" s="132" t="n">
        <x:v>1</x:v>
      </x:c>
      <x:c r="D485" s="134" t="n">
        <x:v>1440</x:v>
      </x:c>
      <x:c r="E485" s="133" t="n">
        <x:v>24.4</x:v>
      </x:c>
      <x:c r="F485" s="134" t="n">
        <x:v>315</x:v>
      </x:c>
      <x:c r="G485" s="134" t="n">
        <x:v>0</x:v>
      </x:c>
      <x:c r="H485" s="134" t="n">
        <x:v>0</x:v>
      </x:c>
      <x:c r="I485" s="134" t="n">
        <x:v>0</x:v>
      </x:c>
      <x:c r="J485" s="133" t="n">
        <x:v>0</x:v>
      </x:c>
      <x:c r="K485" s="133" t="n">
        <x:v>0</x:v>
      </x:c>
      <x:c r="L485" s="133" t="n">
        <x:v>0</x:v>
      </x:c>
      <x:c r="M485" s="133" t="n">
        <x:v>0</x:v>
      </x:c>
      <x:c r="N485" s="133" t="n">
        <x:v>0</x:v>
      </x:c>
      <x:c r="O485" s="133" t="n">
        <x:v>0</x:v>
      </x:c>
      <x:c r="P485" s="132"/>
    </x:row>
    <x:row r="486">
      <x:c r="A486" s="136" t="str">
        <x:v>01101000500</x:v>
      </x:c>
      <x:c r="B486" s="132" t="str">
        <x:v>Montgomery County</x:v>
      </x:c>
      <x:c r="C486" s="132" t="n">
        <x:v>1</x:v>
      </x:c>
      <x:c r="D486" s="134" t="n">
        <x:v>2902</x:v>
      </x:c>
      <x:c r="E486" s="133" t="n">
        <x:v>19.5</x:v>
      </x:c>
      <x:c r="F486" s="134" t="n">
        <x:v>1190</x:v>
      </x:c>
      <x:c r="G486" s="134" t="n">
        <x:v>0</x:v>
      </x:c>
      <x:c r="H486" s="134" t="n">
        <x:v>0</x:v>
      </x:c>
      <x:c r="I486" s="134" t="n">
        <x:v>0</x:v>
      </x:c>
      <x:c r="J486" s="133" t="n">
        <x:v>0</x:v>
      </x:c>
      <x:c r="K486" s="133" t="n">
        <x:v>0</x:v>
      </x:c>
      <x:c r="L486" s="133" t="n">
        <x:v>0</x:v>
      </x:c>
      <x:c r="M486" s="133" t="n">
        <x:v>0</x:v>
      </x:c>
      <x:c r="N486" s="133" t="n">
        <x:v>0</x:v>
      </x:c>
      <x:c r="O486" s="133" t="n">
        <x:v>0</x:v>
      </x:c>
      <x:c r="P486" s="132"/>
    </x:row>
    <x:row r="487">
      <x:c r="A487" s="136" t="str">
        <x:v>01101000600</x:v>
      </x:c>
      <x:c r="B487" s="132" t="str">
        <x:v>Montgomery County</x:v>
      </x:c>
      <x:c r="C487" s="132" t="n">
        <x:v>1</x:v>
      </x:c>
      <x:c r="D487" s="134" t="n">
        <x:v>1763</x:v>
      </x:c>
      <x:c r="E487" s="133" t="n">
        <x:v>47.3</x:v>
      </x:c>
      <x:c r="F487" s="134" t="n">
        <x:v>109</x:v>
      </x:c>
      <x:c r="G487" s="134" t="n">
        <x:v>0</x:v>
      </x:c>
      <x:c r="H487" s="134" t="n">
        <x:v>0</x:v>
      </x:c>
      <x:c r="I487" s="134" t="n">
        <x:v>0</x:v>
      </x:c>
      <x:c r="J487" s="133" t="n">
        <x:v>0</x:v>
      </x:c>
      <x:c r="K487" s="133" t="n">
        <x:v>0</x:v>
      </x:c>
      <x:c r="L487" s="133" t="n">
        <x:v>0</x:v>
      </x:c>
      <x:c r="M487" s="133" t="n">
        <x:v>0</x:v>
      </x:c>
      <x:c r="N487" s="133" t="n">
        <x:v>0</x:v>
      </x:c>
      <x:c r="O487" s="133" t="n">
        <x:v>0</x:v>
      </x:c>
      <x:c r="P487" s="132"/>
    </x:row>
    <x:row r="488">
      <x:c r="A488" s="136" t="str">
        <x:v>01101000700</x:v>
      </x:c>
      <x:c r="B488" s="132" t="str">
        <x:v>Montgomery County</x:v>
      </x:c>
      <x:c r="C488" s="132" t="n">
        <x:v>1</x:v>
      </x:c>
      <x:c r="D488" s="134" t="n">
        <x:v>997</x:v>
      </x:c>
      <x:c r="E488" s="133" t="n">
        <x:v>62</x:v>
      </x:c>
      <x:c r="F488" s="134" t="n">
        <x:v>442</x:v>
      </x:c>
      <x:c r="G488" s="134" t="n">
        <x:v>0</x:v>
      </x:c>
      <x:c r="H488" s="134" t="n">
        <x:v>0</x:v>
      </x:c>
      <x:c r="I488" s="134" t="n">
        <x:v>0</x:v>
      </x:c>
      <x:c r="J488" s="133" t="n">
        <x:v>0</x:v>
      </x:c>
      <x:c r="K488" s="133" t="n">
        <x:v>0</x:v>
      </x:c>
      <x:c r="L488" s="133" t="n">
        <x:v>0</x:v>
      </x:c>
      <x:c r="M488" s="133" t="n">
        <x:v>0</x:v>
      </x:c>
      <x:c r="N488" s="133" t="n">
        <x:v>0</x:v>
      </x:c>
      <x:c r="O488" s="133" t="n">
        <x:v>0</x:v>
      </x:c>
      <x:c r="P488" s="132"/>
    </x:row>
    <x:row r="489">
      <x:c r="A489" s="136" t="str">
        <x:v>01101001200</x:v>
      </x:c>
      <x:c r="B489" s="132" t="str">
        <x:v>Montgomery County</x:v>
      </x:c>
      <x:c r="C489" s="132" t="n">
        <x:v>1</x:v>
      </x:c>
      <x:c r="D489" s="134" t="n">
        <x:v>1455</x:v>
      </x:c>
      <x:c r="E489" s="133" t="n">
        <x:v>53.9</x:v>
      </x:c>
      <x:c r="F489" s="134" t="n">
        <x:v>556</x:v>
      </x:c>
      <x:c r="G489" s="134" t="n">
        <x:v>0</x:v>
      </x:c>
      <x:c r="H489" s="134" t="n">
        <x:v>0</x:v>
      </x:c>
      <x:c r="I489" s="134" t="n">
        <x:v>0</x:v>
      </x:c>
      <x:c r="J489" s="133" t="n">
        <x:v>0</x:v>
      </x:c>
      <x:c r="K489" s="133" t="n">
        <x:v>0</x:v>
      </x:c>
      <x:c r="L489" s="133" t="n">
        <x:v>0</x:v>
      </x:c>
      <x:c r="M489" s="133" t="n">
        <x:v>0</x:v>
      </x:c>
      <x:c r="N489" s="133" t="n">
        <x:v>0</x:v>
      </x:c>
      <x:c r="O489" s="133" t="n">
        <x:v>0</x:v>
      </x:c>
      <x:c r="P489" s="132"/>
    </x:row>
    <x:row r="490">
      <x:c r="A490" s="136" t="str">
        <x:v>01101001300</x:v>
      </x:c>
      <x:c r="B490" s="132" t="str">
        <x:v>Montgomery County</x:v>
      </x:c>
      <x:c r="C490" s="132" t="n">
        <x:v>1</x:v>
      </x:c>
      <x:c r="D490" s="134" t="n">
        <x:v>2094</x:v>
      </x:c>
      <x:c r="E490" s="133" t="n">
        <x:v>22.1</x:v>
      </x:c>
      <x:c r="F490" s="134" t="n">
        <x:v>1086</x:v>
      </x:c>
      <x:c r="G490" s="134" t="n">
        <x:v>0</x:v>
      </x:c>
      <x:c r="H490" s="134" t="n">
        <x:v>0</x:v>
      </x:c>
      <x:c r="I490" s="134" t="n">
        <x:v>0</x:v>
      </x:c>
      <x:c r="J490" s="133" t="n">
        <x:v>0</x:v>
      </x:c>
      <x:c r="K490" s="133" t="n">
        <x:v>0</x:v>
      </x:c>
      <x:c r="L490" s="133" t="n">
        <x:v>0</x:v>
      </x:c>
      <x:c r="M490" s="133" t="n">
        <x:v>0</x:v>
      </x:c>
      <x:c r="N490" s="133" t="n">
        <x:v>0</x:v>
      </x:c>
      <x:c r="O490" s="133" t="n">
        <x:v>0</x:v>
      </x:c>
      <x:c r="P490" s="132"/>
    </x:row>
    <x:row r="491">
      <x:c r="A491" s="136" t="str">
        <x:v>01101001400</x:v>
      </x:c>
      <x:c r="B491" s="132" t="str">
        <x:v>Montgomery County</x:v>
      </x:c>
      <x:c r="C491" s="132" t="n">
        <x:v>1</x:v>
      </x:c>
      <x:c r="D491" s="134" t="n">
        <x:v>3555</x:v>
      </x:c>
      <x:c r="E491" s="133" t="n">
        <x:v>3.5</x:v>
      </x:c>
      <x:c r="F491" s="134" t="n">
        <x:v>2580</x:v>
      </x:c>
      <x:c r="G491" s="134" t="n">
        <x:v>0</x:v>
      </x:c>
      <x:c r="H491" s="134" t="n">
        <x:v>0</x:v>
      </x:c>
      <x:c r="I491" s="134" t="n">
        <x:v>0</x:v>
      </x:c>
      <x:c r="J491" s="133" t="n">
        <x:v>0</x:v>
      </x:c>
      <x:c r="K491" s="133" t="n">
        <x:v>0</x:v>
      </x:c>
      <x:c r="L491" s="133" t="n">
        <x:v>0</x:v>
      </x:c>
      <x:c r="M491" s="133" t="n">
        <x:v>0</x:v>
      </x:c>
      <x:c r="N491" s="133" t="n">
        <x:v>0</x:v>
      </x:c>
      <x:c r="O491" s="133" t="n">
        <x:v>0</x:v>
      </x:c>
      <x:c r="P491" s="132"/>
    </x:row>
    <x:row r="492">
      <x:c r="A492" s="136" t="str">
        <x:v>01101001500</x:v>
      </x:c>
      <x:c r="B492" s="132" t="str">
        <x:v>Montgomery County</x:v>
      </x:c>
      <x:c r="C492" s="132" t="n">
        <x:v>1</x:v>
      </x:c>
      <x:c r="D492" s="134" t="n">
        <x:v>4112</x:v>
      </x:c>
      <x:c r="E492" s="133" t="n">
        <x:v>32.4</x:v>
      </x:c>
      <x:c r="F492" s="134" t="n">
        <x:v>956</x:v>
      </x:c>
      <x:c r="G492" s="134" t="n">
        <x:v>0</x:v>
      </x:c>
      <x:c r="H492" s="134" t="n">
        <x:v>0</x:v>
      </x:c>
      <x:c r="I492" s="134" t="n">
        <x:v>0</x:v>
      </x:c>
      <x:c r="J492" s="133" t="n">
        <x:v>0</x:v>
      </x:c>
      <x:c r="K492" s="133" t="n">
        <x:v>0</x:v>
      </x:c>
      <x:c r="L492" s="133" t="n">
        <x:v>0</x:v>
      </x:c>
      <x:c r="M492" s="133" t="n">
        <x:v>0</x:v>
      </x:c>
      <x:c r="N492" s="133" t="n">
        <x:v>0</x:v>
      </x:c>
      <x:c r="O492" s="133" t="n">
        <x:v>0</x:v>
      </x:c>
      <x:c r="P492" s="132"/>
    </x:row>
    <x:row r="493">
      <x:c r="A493" s="136" t="str">
        <x:v>01101002100</x:v>
      </x:c>
      <x:c r="B493" s="132" t="str">
        <x:v>Montgomery County</x:v>
      </x:c>
      <x:c r="C493" s="132" t="n">
        <x:v>1</x:v>
      </x:c>
      <x:c r="D493" s="134" t="n">
        <x:v>3886</x:v>
      </x:c>
      <x:c r="E493" s="133" t="n">
        <x:v>12.1</x:v>
      </x:c>
      <x:c r="F493" s="134" t="n">
        <x:v>2682</x:v>
      </x:c>
      <x:c r="G493" s="134" t="n">
        <x:v>0</x:v>
      </x:c>
      <x:c r="H493" s="134" t="n">
        <x:v>0</x:v>
      </x:c>
      <x:c r="I493" s="134" t="n">
        <x:v>0</x:v>
      </x:c>
      <x:c r="J493" s="133" t="n">
        <x:v>0</x:v>
      </x:c>
      <x:c r="K493" s="133" t="n">
        <x:v>0</x:v>
      </x:c>
      <x:c r="L493" s="133" t="n">
        <x:v>0</x:v>
      </x:c>
      <x:c r="M493" s="133" t="n">
        <x:v>0</x:v>
      </x:c>
      <x:c r="N493" s="133" t="n">
        <x:v>0</x:v>
      </x:c>
      <x:c r="O493" s="133" t="n">
        <x:v>0</x:v>
      </x:c>
      <x:c r="P493" s="132"/>
    </x:row>
    <x:row r="494">
      <x:c r="A494" s="136" t="str">
        <x:v>01101002201</x:v>
      </x:c>
      <x:c r="B494" s="132" t="str">
        <x:v>Montgomery County</x:v>
      </x:c>
      <x:c r="C494" s="132" t="n">
        <x:v>1</x:v>
      </x:c>
      <x:c r="D494" s="134" t="n">
        <x:v>3754</x:v>
      </x:c>
      <x:c r="E494" s="133" t="n">
        <x:v>36.5</x:v>
      </x:c>
      <x:c r="F494" s="134" t="n">
        <x:v>1329</x:v>
      </x:c>
      <x:c r="G494" s="134" t="n">
        <x:v>0</x:v>
      </x:c>
      <x:c r="H494" s="134" t="n">
        <x:v>0</x:v>
      </x:c>
      <x:c r="I494" s="134" t="n">
        <x:v>0</x:v>
      </x:c>
      <x:c r="J494" s="133" t="n">
        <x:v>0</x:v>
      </x:c>
      <x:c r="K494" s="133" t="n">
        <x:v>0</x:v>
      </x:c>
      <x:c r="L494" s="133" t="n">
        <x:v>0</x:v>
      </x:c>
      <x:c r="M494" s="133" t="n">
        <x:v>0</x:v>
      </x:c>
      <x:c r="N494" s="133" t="n">
        <x:v>0</x:v>
      </x:c>
      <x:c r="O494" s="133" t="n">
        <x:v>0</x:v>
      </x:c>
      <x:c r="P494" s="132"/>
    </x:row>
    <x:row r="495">
      <x:c r="A495" s="136" t="str">
        <x:v>01101002901</x:v>
      </x:c>
      <x:c r="B495" s="132" t="str">
        <x:v>Montgomery County</x:v>
      </x:c>
      <x:c r="C495" s="132" t="n">
        <x:v>1</x:v>
      </x:c>
      <x:c r="D495" s="134" t="n">
        <x:v>3313</x:v>
      </x:c>
      <x:c r="E495" s="133" t="n">
        <x:v>21.5</x:v>
      </x:c>
      <x:c r="F495" s="134" t="n">
        <x:v>1148</x:v>
      </x:c>
      <x:c r="G495" s="134" t="n">
        <x:v>0</x:v>
      </x:c>
      <x:c r="H495" s="134" t="n">
        <x:v>0</x:v>
      </x:c>
      <x:c r="I495" s="134" t="n">
        <x:v>0</x:v>
      </x:c>
      <x:c r="J495" s="133" t="n">
        <x:v>0</x:v>
      </x:c>
      <x:c r="K495" s="133" t="n">
        <x:v>0</x:v>
      </x:c>
      <x:c r="L495" s="133" t="n">
        <x:v>0</x:v>
      </x:c>
      <x:c r="M495" s="133" t="n">
        <x:v>0</x:v>
      </x:c>
      <x:c r="N495" s="133" t="n">
        <x:v>0</x:v>
      </x:c>
      <x:c r="O495" s="133" t="n">
        <x:v>0</x:v>
      </x:c>
      <x:c r="P495" s="132"/>
    </x:row>
    <x:row r="496">
      <x:c r="A496" s="136" t="str">
        <x:v>01101003301</x:v>
      </x:c>
      <x:c r="B496" s="132" t="str">
        <x:v>Montgomery County</x:v>
      </x:c>
      <x:c r="C496" s="132" t="n">
        <x:v>1</x:v>
      </x:c>
      <x:c r="D496" s="134" t="n">
        <x:v>3470</x:v>
      </x:c>
      <x:c r="E496" s="133" t="n">
        <x:v>16</x:v>
      </x:c>
      <x:c r="F496" s="134" t="n">
        <x:v>2071</x:v>
      </x:c>
      <x:c r="G496" s="134" t="n">
        <x:v>0</x:v>
      </x:c>
      <x:c r="H496" s="134" t="n">
        <x:v>0</x:v>
      </x:c>
      <x:c r="I496" s="134" t="n">
        <x:v>0</x:v>
      </x:c>
      <x:c r="J496" s="133" t="n">
        <x:v>0</x:v>
      </x:c>
      <x:c r="K496" s="133" t="n">
        <x:v>0</x:v>
      </x:c>
      <x:c r="L496" s="133" t="n">
        <x:v>0</x:v>
      </x:c>
      <x:c r="M496" s="133" t="n">
        <x:v>0</x:v>
      </x:c>
      <x:c r="N496" s="133" t="n">
        <x:v>0</x:v>
      </x:c>
      <x:c r="O496" s="133" t="n">
        <x:v>0</x:v>
      </x:c>
      <x:c r="P496" s="132"/>
    </x:row>
    <x:row r="497">
      <x:c r="A497" s="136" t="str">
        <x:v>01101005502</x:v>
      </x:c>
      <x:c r="B497" s="132" t="str">
        <x:v>Montgomery County</x:v>
      </x:c>
      <x:c r="C497" s="132" t="n">
        <x:v>0</x:v>
      </x:c>
      <x:c r="D497" s="134" t="n">
        <x:v>3195</x:v>
      </x:c>
      <x:c r="E497" s="133" t="n">
        <x:v>7.3</x:v>
      </x:c>
      <x:c r="F497" s="134" t="n">
        <x:v>2854</x:v>
      </x:c>
      <x:c r="G497" s="134" t="n">
        <x:v>0</x:v>
      </x:c>
      <x:c r="H497" s="134" t="n">
        <x:v>0</x:v>
      </x:c>
      <x:c r="I497" s="134" t="n">
        <x:v>0</x:v>
      </x:c>
      <x:c r="J497" s="133" t="n">
        <x:v>0</x:v>
      </x:c>
      <x:c r="K497" s="133" t="n">
        <x:v>0</x:v>
      </x:c>
      <x:c r="L497" s="133" t="n">
        <x:v>0</x:v>
      </x:c>
      <x:c r="M497" s="133" t="n">
        <x:v>0</x:v>
      </x:c>
      <x:c r="N497" s="133"/>
      <x:c r="O497" s="133" t="n">
        <x:v>0</x:v>
      </x:c>
      <x:c r="P497" s="132"/>
    </x:row>
    <x:row r="498">
      <x:c r="A498" s="136" t="str">
        <x:v>01101005608</x:v>
      </x:c>
      <x:c r="B498" s="132" t="str">
        <x:v>Montgomery County</x:v>
      </x:c>
      <x:c r="C498" s="132" t="n">
        <x:v>0</x:v>
      </x:c>
      <x:c r="D498" s="134" t="n">
        <x:v>1633</x:v>
      </x:c>
      <x:c r="E498" s="133" t="n">
        <x:v>6.5</x:v>
      </x:c>
      <x:c r="F498" s="134" t="n">
        <x:v>1272</x:v>
      </x:c>
      <x:c r="G498" s="134" t="n">
        <x:v>0</x:v>
      </x:c>
      <x:c r="H498" s="134" t="n">
        <x:v>0</x:v>
      </x:c>
      <x:c r="I498" s="134" t="n">
        <x:v>0</x:v>
      </x:c>
      <x:c r="J498" s="133" t="n">
        <x:v>0</x:v>
      </x:c>
      <x:c r="K498" s="133" t="n">
        <x:v>0</x:v>
      </x:c>
      <x:c r="L498" s="133" t="n">
        <x:v>0</x:v>
      </x:c>
      <x:c r="M498" s="133" t="n">
        <x:v>0</x:v>
      </x:c>
      <x:c r="N498" s="133"/>
      <x:c r="O498" s="133" t="n">
        <x:v>0</x:v>
      </x:c>
      <x:c r="P498" s="132"/>
    </x:row>
    <x:row r="499">
      <x:c r="A499" s="136" t="str">
        <x:v>01101005610</x:v>
      </x:c>
      <x:c r="B499" s="132" t="str">
        <x:v>Montgomery County</x:v>
      </x:c>
      <x:c r="C499" s="132" t="n">
        <x:v>0</x:v>
      </x:c>
      <x:c r="D499" s="134" t="n">
        <x:v>1400</x:v>
      </x:c>
      <x:c r="E499" s="133" t="n">
        <x:v>16.7</x:v>
      </x:c>
      <x:c r="F499" s="134" t="n">
        <x:v>1146</x:v>
      </x:c>
      <x:c r="G499" s="134" t="n">
        <x:v>0</x:v>
      </x:c>
      <x:c r="H499" s="134" t="n">
        <x:v>0</x:v>
      </x:c>
      <x:c r="I499" s="134" t="n">
        <x:v>0</x:v>
      </x:c>
      <x:c r="J499" s="133" t="n">
        <x:v>0</x:v>
      </x:c>
      <x:c r="K499" s="133" t="n">
        <x:v>0</x:v>
      </x:c>
      <x:c r="L499" s="133" t="n">
        <x:v>0</x:v>
      </x:c>
      <x:c r="M499" s="133" t="n">
        <x:v>0</x:v>
      </x:c>
      <x:c r="N499" s="133" t="n">
        <x:v>0</x:v>
      </x:c>
      <x:c r="O499" s="133" t="n">
        <x:v>0</x:v>
      </x:c>
      <x:c r="P499" s="132"/>
    </x:row>
    <x:row r="500">
      <x:c r="A500" s="136" t="str">
        <x:v>01101005611</x:v>
      </x:c>
      <x:c r="B500" s="132" t="str">
        <x:v>Montgomery County</x:v>
      </x:c>
      <x:c r="C500" s="132" t="n">
        <x:v>0</x:v>
      </x:c>
      <x:c r="D500" s="134" t="n">
        <x:v>3644</x:v>
      </x:c>
      <x:c r="E500" s="133" t="n">
        <x:v>10</x:v>
      </x:c>
      <x:c r="F500" s="134" t="n">
        <x:v>2608</x:v>
      </x:c>
      <x:c r="G500" s="134" t="n">
        <x:v>0</x:v>
      </x:c>
      <x:c r="H500" s="134" t="n">
        <x:v>0</x:v>
      </x:c>
      <x:c r="I500" s="134" t="n">
        <x:v>0</x:v>
      </x:c>
      <x:c r="J500" s="133" t="n">
        <x:v>0</x:v>
      </x:c>
      <x:c r="K500" s="133" t="n">
        <x:v>0</x:v>
      </x:c>
      <x:c r="L500" s="133" t="n">
        <x:v>0</x:v>
      </x:c>
      <x:c r="M500" s="133" t="n">
        <x:v>0</x:v>
      </x:c>
      <x:c r="N500" s="133"/>
      <x:c r="O500" s="133" t="n">
        <x:v>0</x:v>
      </x:c>
      <x:c r="P500" s="132"/>
    </x:row>
    <x:row r="501">
      <x:c r="A501" s="136" t="str">
        <x:v>01101005800</x:v>
      </x:c>
      <x:c r="B501" s="132" t="str">
        <x:v>Montgomery County</x:v>
      </x:c>
      <x:c r="C501" s="132" t="n">
        <x:v>0</x:v>
      </x:c>
      <x:c r="D501" s="134" t="n">
        <x:v>1918</x:v>
      </x:c>
      <x:c r="E501" s="133" t="n">
        <x:v>18</x:v>
      </x:c>
      <x:c r="F501" s="134" t="n">
        <x:v>982</x:v>
      </x:c>
      <x:c r="G501" s="134" t="n">
        <x:v>0</x:v>
      </x:c>
      <x:c r="H501" s="134" t="n">
        <x:v>1</x:v>
      </x:c>
      <x:c r="I501" s="134" t="n">
        <x:v>0</x:v>
      </x:c>
      <x:c r="J501" s="133" t="n">
        <x:v>0.05213764337851929</x:v>
      </x:c>
      <x:c r="K501" s="133" t="n">
        <x:v>0</x:v>
      </x:c>
      <x:c r="L501" s="133" t="n">
        <x:v>0</x:v>
      </x:c>
      <x:c r="M501" s="133" t="n">
        <x:v>0</x:v>
      </x:c>
      <x:c r="N501" s="133" t="n">
        <x:v>0</x:v>
      </x:c>
      <x:c r="O501" s="133" t="n">
        <x:v>0</x:v>
      </x:c>
      <x:c r="P501" s="132"/>
    </x:row>
    <x:row r="502">
      <x:c r="A502" s="136" t="str">
        <x:v>01101006100</x:v>
      </x:c>
      <x:c r="B502" s="132" t="str">
        <x:v>Montgomery County</x:v>
      </x:c>
      <x:c r="C502" s="132" t="n">
        <x:v>0</x:v>
      </x:c>
      <x:c r="D502" s="134" t="n">
        <x:v>2062</x:v>
      </x:c>
      <x:c r="E502" s="133" t="n">
        <x:v>30.5</x:v>
      </x:c>
      <x:c r="F502" s="134" t="n">
        <x:v>1054</x:v>
      </x:c>
      <x:c r="G502" s="134" t="n">
        <x:v>0</x:v>
      </x:c>
      <x:c r="H502" s="134" t="n">
        <x:v>0</x:v>
      </x:c>
      <x:c r="I502" s="134" t="n">
        <x:v>0</x:v>
      </x:c>
      <x:c r="J502" s="133" t="n">
        <x:v>0</x:v>
      </x:c>
      <x:c r="K502" s="133" t="n">
        <x:v>0</x:v>
      </x:c>
      <x:c r="L502" s="133" t="n">
        <x:v>0</x:v>
      </x:c>
      <x:c r="M502" s="133" t="n">
        <x:v>0</x:v>
      </x:c>
      <x:c r="N502" s="133" t="n">
        <x:v>0</x:v>
      </x:c>
      <x:c r="O502" s="133" t="n">
        <x:v>0</x:v>
      </x:c>
      <x:c r="P502" s="132"/>
    </x:row>
    <x:row r="503">
      <x:c r="A503" s="136" t="str">
        <x:v>01103000800</x:v>
      </x:c>
      <x:c r="B503" s="132" t="str">
        <x:v>Morgan County</x:v>
      </x:c>
      <x:c r="C503" s="132" t="n">
        <x:v>1</x:v>
      </x:c>
      <x:c r="D503" s="134" t="n">
        <x:v>3282</x:v>
      </x:c>
      <x:c r="E503" s="133" t="n">
        <x:v>13.3</x:v>
      </x:c>
      <x:c r="F503" s="134" t="n">
        <x:v>2356</x:v>
      </x:c>
      <x:c r="G503" s="134" t="n">
        <x:v>0</x:v>
      </x:c>
      <x:c r="H503" s="134" t="n">
        <x:v>0</x:v>
      </x:c>
      <x:c r="I503" s="134" t="n">
        <x:v>0</x:v>
      </x:c>
      <x:c r="J503" s="133" t="n">
        <x:v>0</x:v>
      </x:c>
      <x:c r="K503" s="133" t="n">
        <x:v>0</x:v>
      </x:c>
      <x:c r="L503" s="133" t="n">
        <x:v>0</x:v>
      </x:c>
      <x:c r="M503" s="133" t="n">
        <x:v>0</x:v>
      </x:c>
      <x:c r="N503" s="133"/>
      <x:c r="O503" s="133" t="n">
        <x:v>0</x:v>
      </x:c>
      <x:c r="P503" s="132"/>
    </x:row>
    <x:row r="504">
      <x:c r="A504" s="136" t="str">
        <x:v>01103001000</x:v>
      </x:c>
      <x:c r="B504" s="132" t="str">
        <x:v>Morgan County</x:v>
      </x:c>
      <x:c r="C504" s="132" t="n">
        <x:v>1</x:v>
      </x:c>
      <x:c r="D504" s="134" t="n">
        <x:v>3409</x:v>
      </x:c>
      <x:c r="E504" s="133" t="n">
        <x:v>5.8</x:v>
      </x:c>
      <x:c r="F504" s="134" t="n">
        <x:v>2313</x:v>
      </x:c>
      <x:c r="G504" s="134" t="n">
        <x:v>0</x:v>
      </x:c>
      <x:c r="H504" s="134" t="n">
        <x:v>0</x:v>
      </x:c>
      <x:c r="I504" s="134" t="n">
        <x:v>0</x:v>
      </x:c>
      <x:c r="J504" s="133" t="n">
        <x:v>0</x:v>
      </x:c>
      <x:c r="K504" s="133" t="n">
        <x:v>0</x:v>
      </x:c>
      <x:c r="L504" s="133" t="n">
        <x:v>0</x:v>
      </x:c>
      <x:c r="M504" s="133" t="n">
        <x:v>0</x:v>
      </x:c>
      <x:c r="N504" s="133" t="n">
        <x:v>0</x:v>
      </x:c>
      <x:c r="O504" s="133" t="n">
        <x:v>0</x:v>
      </x:c>
      <x:c r="P504" s="132"/>
    </x:row>
    <x:row r="505">
      <x:c r="A505" s="136" t="str">
        <x:v>01103005107</x:v>
      </x:c>
      <x:c r="B505" s="132" t="str">
        <x:v>Morgan County</x:v>
      </x:c>
      <x:c r="C505" s="132" t="n">
        <x:v>0</x:v>
      </x:c>
      <x:c r="D505" s="134" t="n">
        <x:v>4495</x:v>
      </x:c>
      <x:c r="E505" s="133" t="n">
        <x:v>2.9</x:v>
      </x:c>
      <x:c r="F505" s="134" t="n">
        <x:v>3881</x:v>
      </x:c>
      <x:c r="G505" s="134" t="n">
        <x:v>0</x:v>
      </x:c>
      <x:c r="H505" s="134" t="n">
        <x:v>0</x:v>
      </x:c>
      <x:c r="I505" s="134" t="n">
        <x:v>0</x:v>
      </x:c>
      <x:c r="J505" s="133" t="n">
        <x:v>0</x:v>
      </x:c>
      <x:c r="K505" s="133" t="n">
        <x:v>0</x:v>
      </x:c>
      <x:c r="L505" s="133" t="n">
        <x:v>0</x:v>
      </x:c>
      <x:c r="M505" s="133" t="n">
        <x:v>0</x:v>
      </x:c>
      <x:c r="N505" s="133" t="n">
        <x:v>0</x:v>
      </x:c>
      <x:c r="O505" s="133" t="n">
        <x:v>0</x:v>
      </x:c>
      <x:c r="P505" s="132"/>
    </x:row>
    <x:row r="506">
      <x:c r="A506" s="136" t="str">
        <x:v>01103005201</x:v>
      </x:c>
      <x:c r="B506" s="132" t="str">
        <x:v>Morgan County</x:v>
      </x:c>
      <x:c r="C506" s="132" t="n">
        <x:v>0</x:v>
      </x:c>
      <x:c r="D506" s="134" t="n">
        <x:v>2142</x:v>
      </x:c>
      <x:c r="E506" s="133" t="n">
        <x:v>4.7</x:v>
      </x:c>
      <x:c r="F506" s="134" t="n">
        <x:v>1803</x:v>
      </x:c>
      <x:c r="G506" s="134" t="n">
        <x:v>0</x:v>
      </x:c>
      <x:c r="H506" s="134" t="n">
        <x:v>0</x:v>
      </x:c>
      <x:c r="I506" s="134" t="n">
        <x:v>0</x:v>
      </x:c>
      <x:c r="J506" s="133" t="n">
        <x:v>0</x:v>
      </x:c>
      <x:c r="K506" s="133" t="n">
        <x:v>0</x:v>
      </x:c>
      <x:c r="L506" s="133" t="n">
        <x:v>0</x:v>
      </x:c>
      <x:c r="M506" s="133" t="n">
        <x:v>0</x:v>
      </x:c>
      <x:c r="N506" s="133" t="n">
        <x:v>0</x:v>
      </x:c>
      <x:c r="O506" s="133" t="n">
        <x:v>0</x:v>
      </x:c>
      <x:c r="P506" s="132"/>
    </x:row>
    <x:row r="507">
      <x:c r="A507" s="136" t="str">
        <x:v>01103005202</x:v>
      </x:c>
      <x:c r="B507" s="132" t="str">
        <x:v>Morgan County</x:v>
      </x:c>
      <x:c r="C507" s="132" t="n">
        <x:v>0</x:v>
      </x:c>
      <x:c r="D507" s="134" t="n">
        <x:v>4471</x:v>
      </x:c>
      <x:c r="E507" s="133" t="n">
        <x:v>22.8</x:v>
      </x:c>
      <x:c r="F507" s="134" t="n">
        <x:v>2262</x:v>
      </x:c>
      <x:c r="G507" s="134" t="n">
        <x:v>0</x:v>
      </x:c>
      <x:c r="H507" s="134" t="n">
        <x:v>0</x:v>
      </x:c>
      <x:c r="I507" s="134" t="n">
        <x:v>0</x:v>
      </x:c>
      <x:c r="J507" s="133" t="n">
        <x:v>0</x:v>
      </x:c>
      <x:c r="K507" s="133" t="n">
        <x:v>0</x:v>
      </x:c>
      <x:c r="L507" s="133" t="n">
        <x:v>0</x:v>
      </x:c>
      <x:c r="M507" s="133" t="n">
        <x:v>0</x:v>
      </x:c>
      <x:c r="N507" s="133" t="n">
        <x:v>0</x:v>
      </x:c>
      <x:c r="O507" s="133" t="n">
        <x:v>0</x:v>
      </x:c>
      <x:c r="P507" s="132"/>
    </x:row>
    <x:row r="508">
      <x:c r="A508" s="136" t="str">
        <x:v>01103005305</x:v>
      </x:c>
      <x:c r="B508" s="132" t="str">
        <x:v>Morgan County</x:v>
      </x:c>
      <x:c r="C508" s="132" t="n">
        <x:v>0</x:v>
      </x:c>
      <x:c r="D508" s="134" t="n">
        <x:v>4632</x:v>
      </x:c>
      <x:c r="E508" s="133" t="n">
        <x:v>16.1</x:v>
      </x:c>
      <x:c r="F508" s="134" t="n">
        <x:v>4382</x:v>
      </x:c>
      <x:c r="G508" s="134" t="n">
        <x:v>0</x:v>
      </x:c>
      <x:c r="H508" s="134" t="n">
        <x:v>0</x:v>
      </x:c>
      <x:c r="I508" s="134" t="n">
        <x:v>0</x:v>
      </x:c>
      <x:c r="J508" s="133" t="n">
        <x:v>0</x:v>
      </x:c>
      <x:c r="K508" s="133" t="n">
        <x:v>0</x:v>
      </x:c>
      <x:c r="L508" s="133" t="n">
        <x:v>0</x:v>
      </x:c>
      <x:c r="M508" s="133" t="n">
        <x:v>0</x:v>
      </x:c>
      <x:c r="N508" s="133" t="n">
        <x:v>0</x:v>
      </x:c>
      <x:c r="O508" s="133" t="n">
        <x:v>0</x:v>
      </x:c>
      <x:c r="P508" s="132"/>
    </x:row>
    <x:row r="509">
      <x:c r="A509" s="136" t="str">
        <x:v>01103005306</x:v>
      </x:c>
      <x:c r="B509" s="132" t="str">
        <x:v>Morgan County</x:v>
      </x:c>
      <x:c r="C509" s="132" t="n">
        <x:v>0</x:v>
      </x:c>
      <x:c r="D509" s="134" t="n">
        <x:v>3788</x:v>
      </x:c>
      <x:c r="E509" s="133" t="n">
        <x:v>13.3</x:v>
      </x:c>
      <x:c r="F509" s="134" t="n">
        <x:v>2837</x:v>
      </x:c>
      <x:c r="G509" s="134" t="n">
        <x:v>0</x:v>
      </x:c>
      <x:c r="H509" s="134" t="n">
        <x:v>0</x:v>
      </x:c>
      <x:c r="I509" s="134" t="n">
        <x:v>0</x:v>
      </x:c>
      <x:c r="J509" s="133" t="n">
        <x:v>0</x:v>
      </x:c>
      <x:c r="K509" s="133" t="n">
        <x:v>0</x:v>
      </x:c>
      <x:c r="L509" s="133" t="n">
        <x:v>0</x:v>
      </x:c>
      <x:c r="M509" s="133" t="n">
        <x:v>0</x:v>
      </x:c>
      <x:c r="N509" s="133" t="n">
        <x:v>0</x:v>
      </x:c>
      <x:c r="O509" s="133" t="n">
        <x:v>0</x:v>
      </x:c>
      <x:c r="P509" s="132"/>
    </x:row>
    <x:row r="510">
      <x:c r="A510" s="136" t="str">
        <x:v>01103005405</x:v>
      </x:c>
      <x:c r="B510" s="132" t="str">
        <x:v>Morgan County</x:v>
      </x:c>
      <x:c r="C510" s="132" t="n">
        <x:v>0</x:v>
      </x:c>
      <x:c r="D510" s="134" t="n">
        <x:v>5170</x:v>
      </x:c>
      <x:c r="E510" s="133" t="n">
        <x:v>37.7</x:v>
      </x:c>
      <x:c r="F510" s="134" t="n">
        <x:v>2873</x:v>
      </x:c>
      <x:c r="G510" s="134" t="n">
        <x:v>0</x:v>
      </x:c>
      <x:c r="H510" s="134" t="n">
        <x:v>0</x:v>
      </x:c>
      <x:c r="I510" s="134" t="n">
        <x:v>0</x:v>
      </x:c>
      <x:c r="J510" s="133" t="n">
        <x:v>0</x:v>
      </x:c>
      <x:c r="K510" s="133" t="n">
        <x:v>0</x:v>
      </x:c>
      <x:c r="L510" s="133" t="n">
        <x:v>0</x:v>
      </x:c>
      <x:c r="M510" s="133" t="n">
        <x:v>0</x:v>
      </x:c>
      <x:c r="N510" s="133" t="n">
        <x:v>0</x:v>
      </x:c>
      <x:c r="O510" s="133" t="n">
        <x:v>0</x:v>
      </x:c>
      <x:c r="P510" s="132"/>
    </x:row>
    <x:row r="511">
      <x:c r="A511" s="136" t="str">
        <x:v>01103005500</x:v>
      </x:c>
      <x:c r="B511" s="132" t="str">
        <x:v>Morgan County</x:v>
      </x:c>
      <x:c r="C511" s="132" t="n">
        <x:v>0</x:v>
      </x:c>
      <x:c r="D511" s="134" t="n">
        <x:v>5745</x:v>
      </x:c>
      <x:c r="E511" s="133" t="n">
        <x:v>6.1</x:v>
      </x:c>
      <x:c r="F511" s="134" t="n">
        <x:v>4803</x:v>
      </x:c>
      <x:c r="G511" s="134" t="n">
        <x:v>0</x:v>
      </x:c>
      <x:c r="H511" s="134" t="n">
        <x:v>0</x:v>
      </x:c>
      <x:c r="I511" s="134" t="n">
        <x:v>0</x:v>
      </x:c>
      <x:c r="J511" s="133" t="n">
        <x:v>0</x:v>
      </x:c>
      <x:c r="K511" s="133" t="n">
        <x:v>0</x:v>
      </x:c>
      <x:c r="L511" s="133" t="n">
        <x:v>0</x:v>
      </x:c>
      <x:c r="M511" s="133" t="n">
        <x:v>0</x:v>
      </x:c>
      <x:c r="N511" s="133" t="n">
        <x:v>0</x:v>
      </x:c>
      <x:c r="O511" s="133" t="n">
        <x:v>0</x:v>
      </x:c>
      <x:c r="P511" s="132"/>
    </x:row>
    <x:row r="512">
      <x:c r="A512" s="136" t="str">
        <x:v>01103005601</x:v>
      </x:c>
      <x:c r="B512" s="132" t="str">
        <x:v>Morgan County</x:v>
      </x:c>
      <x:c r="C512" s="132" t="n">
        <x:v>0</x:v>
      </x:c>
      <x:c r="D512" s="134" t="n">
        <x:v>3289</x:v>
      </x:c>
      <x:c r="E512" s="133" t="n">
        <x:v>14.5</x:v>
      </x:c>
      <x:c r="F512" s="134" t="n">
        <x:v>2300</x:v>
      </x:c>
      <x:c r="G512" s="134" t="n">
        <x:v>0</x:v>
      </x:c>
      <x:c r="H512" s="134" t="n">
        <x:v>0</x:v>
      </x:c>
      <x:c r="I512" s="134" t="n">
        <x:v>0</x:v>
      </x:c>
      <x:c r="J512" s="133" t="n">
        <x:v>0</x:v>
      </x:c>
      <x:c r="K512" s="133" t="n">
        <x:v>0</x:v>
      </x:c>
      <x:c r="L512" s="133" t="n">
        <x:v>0</x:v>
      </x:c>
      <x:c r="M512" s="133" t="n">
        <x:v>0</x:v>
      </x:c>
      <x:c r="N512" s="133" t="n">
        <x:v>0</x:v>
      </x:c>
      <x:c r="O512" s="133" t="n">
        <x:v>0</x:v>
      </x:c>
      <x:c r="P512" s="132"/>
    </x:row>
    <x:row r="513">
      <x:c r="A513" s="136" t="str">
        <x:v>01103005602</x:v>
      </x:c>
      <x:c r="B513" s="132" t="str">
        <x:v>Morgan County</x:v>
      </x:c>
      <x:c r="C513" s="132" t="n">
        <x:v>0</x:v>
      </x:c>
      <x:c r="D513" s="134" t="n">
        <x:v>2426</x:v>
      </x:c>
      <x:c r="E513" s="133" t="n">
        <x:v>23.8</x:v>
      </x:c>
      <x:c r="F513" s="134" t="n">
        <x:v>1642</x:v>
      </x:c>
      <x:c r="G513" s="134" t="n">
        <x:v>0</x:v>
      </x:c>
      <x:c r="H513" s="134" t="n">
        <x:v>0</x:v>
      </x:c>
      <x:c r="I513" s="134" t="n">
        <x:v>0</x:v>
      </x:c>
      <x:c r="J513" s="133" t="n">
        <x:v>0</x:v>
      </x:c>
      <x:c r="K513" s="133" t="n">
        <x:v>0</x:v>
      </x:c>
      <x:c r="L513" s="133" t="n">
        <x:v>0</x:v>
      </x:c>
      <x:c r="M513" s="133" t="n">
        <x:v>0</x:v>
      </x:c>
      <x:c r="N513" s="133" t="n">
        <x:v>0</x:v>
      </x:c>
      <x:c r="O513" s="133" t="n">
        <x:v>0</x:v>
      </x:c>
      <x:c r="P513" s="132"/>
    </x:row>
    <x:row r="514">
      <x:c r="A514" s="136" t="str">
        <x:v>01103005701</x:v>
      </x:c>
      <x:c r="B514" s="132" t="str">
        <x:v>Morgan County</x:v>
      </x:c>
      <x:c r="C514" s="132" t="n">
        <x:v>0</x:v>
      </x:c>
      <x:c r="D514" s="134" t="n">
        <x:v>2809</x:v>
      </x:c>
      <x:c r="E514" s="133" t="n">
        <x:v>9.4</x:v>
      </x:c>
      <x:c r="F514" s="134" t="n">
        <x:v>1562</x:v>
      </x:c>
      <x:c r="G514" s="134" t="n">
        <x:v>0</x:v>
      </x:c>
      <x:c r="H514" s="134" t="n">
        <x:v>0</x:v>
      </x:c>
      <x:c r="I514" s="134" t="n">
        <x:v>0</x:v>
      </x:c>
      <x:c r="J514" s="133" t="n">
        <x:v>0</x:v>
      </x:c>
      <x:c r="K514" s="133" t="n">
        <x:v>0</x:v>
      </x:c>
      <x:c r="L514" s="133" t="n">
        <x:v>0</x:v>
      </x:c>
      <x:c r="M514" s="133" t="n">
        <x:v>0</x:v>
      </x:c>
      <x:c r="N514" s="133" t="n">
        <x:v>0</x:v>
      </x:c>
      <x:c r="O514" s="133" t="n">
        <x:v>0</x:v>
      </x:c>
      <x:c r="P514" s="132"/>
    </x:row>
    <x:row r="515">
      <x:c r="A515" s="136" t="str">
        <x:v>01109189002</x:v>
      </x:c>
      <x:c r="B515" s="132" t="str">
        <x:v>Pike County</x:v>
      </x:c>
      <x:c r="C515" s="132" t="n">
        <x:v>0</x:v>
      </x:c>
      <x:c r="D515" s="134" t="n">
        <x:v>864</x:v>
      </x:c>
      <x:c r="E515" s="133" t="n">
        <x:v>17.8</x:v>
      </x:c>
      <x:c r="F515" s="134" t="n">
        <x:v>362</x:v>
      </x:c>
      <x:c r="G515" s="134" t="n">
        <x:v>0</x:v>
      </x:c>
      <x:c r="H515" s="134" t="n">
        <x:v>0</x:v>
      </x:c>
      <x:c r="I515" s="134" t="n">
        <x:v>0</x:v>
      </x:c>
      <x:c r="J515" s="133" t="n">
        <x:v>0</x:v>
      </x:c>
      <x:c r="K515" s="133" t="n">
        <x:v>0</x:v>
      </x:c>
      <x:c r="L515" s="133" t="n">
        <x:v>0</x:v>
      </x:c>
      <x:c r="M515" s="133" t="n">
        <x:v>0</x:v>
      </x:c>
      <x:c r="N515" s="133" t="n">
        <x:v>0</x:v>
      </x:c>
      <x:c r="O515" s="133" t="n">
        <x:v>0</x:v>
      </x:c>
      <x:c r="P515" s="132"/>
    </x:row>
    <x:row r="516">
      <x:c r="A516" s="136" t="str">
        <x:v>01109189102</x:v>
      </x:c>
      <x:c r="B516" s="132" t="str">
        <x:v>Pike County</x:v>
      </x:c>
      <x:c r="C516" s="132" t="n">
        <x:v>0</x:v>
      </x:c>
      <x:c r="D516" s="134" t="n">
        <x:v>3352</x:v>
      </x:c>
      <x:c r="E516" s="133" t="n">
        <x:v>35.1</x:v>
      </x:c>
      <x:c r="F516" s="134" t="n">
        <x:v>1716</x:v>
      </x:c>
      <x:c r="G516" s="134" t="n">
        <x:v>0</x:v>
      </x:c>
      <x:c r="H516" s="134" t="n">
        <x:v>0</x:v>
      </x:c>
      <x:c r="I516" s="134" t="n">
        <x:v>0</x:v>
      </x:c>
      <x:c r="J516" s="133" t="n">
        <x:v>0</x:v>
      </x:c>
      <x:c r="K516" s="133" t="n">
        <x:v>0</x:v>
      </x:c>
      <x:c r="L516" s="133" t="n">
        <x:v>0</x:v>
      </x:c>
      <x:c r="M516" s="133" t="n">
        <x:v>0</x:v>
      </x:c>
      <x:c r="N516" s="133" t="n">
        <x:v>0</x:v>
      </x:c>
      <x:c r="O516" s="133" t="n">
        <x:v>0</x:v>
      </x:c>
      <x:c r="P516" s="132"/>
    </x:row>
    <x:row r="517">
      <x:c r="A517" s="136" t="str">
        <x:v>01111000400</x:v>
      </x:c>
      <x:c r="B517" s="132" t="str">
        <x:v>Randolph County</x:v>
      </x:c>
      <x:c r="C517" s="132" t="n">
        <x:v>0</x:v>
      </x:c>
      <x:c r="D517" s="134" t="n">
        <x:v>4286</x:v>
      </x:c>
      <x:c r="E517" s="133" t="n">
        <x:v>15.4</x:v>
      </x:c>
      <x:c r="F517" s="134" t="n">
        <x:v>2595</x:v>
      </x:c>
      <x:c r="G517" s="134" t="n">
        <x:v>0</x:v>
      </x:c>
      <x:c r="H517" s="134" t="n">
        <x:v>0</x:v>
      </x:c>
      <x:c r="I517" s="134" t="n">
        <x:v>0</x:v>
      </x:c>
      <x:c r="J517" s="133" t="n">
        <x:v>0</x:v>
      </x:c>
      <x:c r="K517" s="133" t="n">
        <x:v>0</x:v>
      </x:c>
      <x:c r="L517" s="133" t="n">
        <x:v>0</x:v>
      </x:c>
      <x:c r="M517" s="133" t="n">
        <x:v>0</x:v>
      </x:c>
      <x:c r="N517" s="133" t="n">
        <x:v>0</x:v>
      </x:c>
      <x:c r="O517" s="133" t="n">
        <x:v>0</x:v>
      </x:c>
      <x:c r="P517" s="132"/>
    </x:row>
    <x:row r="518">
      <x:c r="A518" s="136" t="str">
        <x:v>01113030200</x:v>
      </x:c>
      <x:c r="B518" s="132" t="str">
        <x:v>Russell County</x:v>
      </x:c>
      <x:c r="C518" s="132" t="n">
        <x:v>1</x:v>
      </x:c>
      <x:c r="D518" s="134" t="n">
        <x:v>1766</x:v>
      </x:c>
      <x:c r="E518" s="133" t="n">
        <x:v>40.9</x:v>
      </x:c>
      <x:c r="F518" s="134" t="n">
        <x:v>530</x:v>
      </x:c>
      <x:c r="G518" s="134" t="n">
        <x:v>0</x:v>
      </x:c>
      <x:c r="H518" s="134" t="n">
        <x:v>0</x:v>
      </x:c>
      <x:c r="I518" s="134" t="n">
        <x:v>0</x:v>
      </x:c>
      <x:c r="J518" s="133" t="n">
        <x:v>0</x:v>
      </x:c>
      <x:c r="K518" s="133" t="n">
        <x:v>0</x:v>
      </x:c>
      <x:c r="L518" s="133" t="n">
        <x:v>0</x:v>
      </x:c>
      <x:c r="M518" s="133" t="n">
        <x:v>0</x:v>
      </x:c>
      <x:c r="N518" s="133" t="n">
        <x:v>0</x:v>
      </x:c>
      <x:c r="O518" s="133" t="n">
        <x:v>0</x:v>
      </x:c>
      <x:c r="P518" s="132"/>
    </x:row>
    <x:row r="519">
      <x:c r="A519" s="136" t="str">
        <x:v>01113030903</x:v>
      </x:c>
      <x:c r="B519" s="132" t="str">
        <x:v>Russell County</x:v>
      </x:c>
      <x:c r="C519" s="132" t="n">
        <x:v>0</x:v>
      </x:c>
      <x:c r="D519" s="134" t="n">
        <x:v>4598</x:v>
      </x:c>
      <x:c r="E519" s="133" t="n">
        <x:v>17.5</x:v>
      </x:c>
      <x:c r="F519" s="134" t="n">
        <x:v>2224</x:v>
      </x:c>
      <x:c r="G519" s="134" t="n">
        <x:v>0</x:v>
      </x:c>
      <x:c r="H519" s="134" t="n">
        <x:v>0</x:v>
      </x:c>
      <x:c r="I519" s="134" t="n">
        <x:v>0</x:v>
      </x:c>
      <x:c r="J519" s="133" t="n">
        <x:v>0</x:v>
      </x:c>
      <x:c r="K519" s="133" t="n">
        <x:v>0</x:v>
      </x:c>
      <x:c r="L519" s="133" t="n">
        <x:v>0</x:v>
      </x:c>
      <x:c r="M519" s="133" t="n">
        <x:v>0</x:v>
      </x:c>
      <x:c r="N519" s="133" t="n">
        <x:v>0</x:v>
      </x:c>
      <x:c r="O519" s="133" t="n">
        <x:v>0</x:v>
      </x:c>
      <x:c r="P519" s="132"/>
    </x:row>
    <x:row r="520">
      <x:c r="A520" s="136" t="str">
        <x:v>01113030904</x:v>
      </x:c>
      <x:c r="B520" s="132" t="str">
        <x:v>Russell County</x:v>
      </x:c>
      <x:c r="C520" s="132" t="n">
        <x:v>0</x:v>
      </x:c>
      <x:c r="D520" s="134" t="n">
        <x:v>2991</x:v>
      </x:c>
      <x:c r="E520" s="133" t="n">
        <x:v>14.6</x:v>
      </x:c>
      <x:c r="F520" s="134" t="n">
        <x:v>1486</x:v>
      </x:c>
      <x:c r="G520" s="134" t="n">
        <x:v>0</x:v>
      </x:c>
      <x:c r="H520" s="134" t="n">
        <x:v>0</x:v>
      </x:c>
      <x:c r="I520" s="134" t="n">
        <x:v>0</x:v>
      </x:c>
      <x:c r="J520" s="133" t="n">
        <x:v>0</x:v>
      </x:c>
      <x:c r="K520" s="133" t="n">
        <x:v>0</x:v>
      </x:c>
      <x:c r="L520" s="133" t="n">
        <x:v>0</x:v>
      </x:c>
      <x:c r="M520" s="133" t="n">
        <x:v>0</x:v>
      </x:c>
      <x:c r="N520" s="133" t="n">
        <x:v>0</x:v>
      </x:c>
      <x:c r="O520" s="133" t="n">
        <x:v>0</x:v>
      </x:c>
      <x:c r="P520" s="132"/>
    </x:row>
    <x:row r="521">
      <x:c r="A521" s="136" t="str">
        <x:v>01113030905</x:v>
      </x:c>
      <x:c r="B521" s="132" t="str">
        <x:v>Russell County</x:v>
      </x:c>
      <x:c r="C521" s="132" t="n">
        <x:v>0</x:v>
      </x:c>
      <x:c r="D521" s="134" t="n">
        <x:v>3795</x:v>
      </x:c>
      <x:c r="E521" s="133" t="n">
        <x:v>9.4</x:v>
      </x:c>
      <x:c r="F521" s="134" t="n">
        <x:v>2541</x:v>
      </x:c>
      <x:c r="G521" s="134" t="n">
        <x:v>0</x:v>
      </x:c>
      <x:c r="H521" s="134" t="n">
        <x:v>0</x:v>
      </x:c>
      <x:c r="I521" s="134" t="n">
        <x:v>0</x:v>
      </x:c>
      <x:c r="J521" s="133" t="n">
        <x:v>0</x:v>
      </x:c>
      <x:c r="K521" s="133" t="n">
        <x:v>0</x:v>
      </x:c>
      <x:c r="L521" s="133" t="n">
        <x:v>0</x:v>
      </x:c>
      <x:c r="M521" s="133" t="n">
        <x:v>0</x:v>
      </x:c>
      <x:c r="N521" s="133" t="n">
        <x:v>0</x:v>
      </x:c>
      <x:c r="O521" s="133" t="n">
        <x:v>0</x:v>
      </x:c>
      <x:c r="P521" s="132"/>
    </x:row>
    <x:row r="522">
      <x:c r="A522" s="136" t="str">
        <x:v>01113030907</x:v>
      </x:c>
      <x:c r="B522" s="132" t="str">
        <x:v>Russell County</x:v>
      </x:c>
      <x:c r="C522" s="132" t="n">
        <x:v>0</x:v>
      </x:c>
      <x:c r="D522" s="134" t="n">
        <x:v>3135</x:v>
      </x:c>
      <x:c r="E522" s="133" t="n">
        <x:v>16.3</x:v>
      </x:c>
      <x:c r="F522" s="134" t="n">
        <x:v>1677</x:v>
      </x:c>
      <x:c r="G522" s="134" t="n">
        <x:v>0</x:v>
      </x:c>
      <x:c r="H522" s="134" t="n">
        <x:v>0</x:v>
      </x:c>
      <x:c r="I522" s="134" t="n">
        <x:v>0</x:v>
      </x:c>
      <x:c r="J522" s="133" t="n">
        <x:v>0</x:v>
      </x:c>
      <x:c r="K522" s="133" t="n">
        <x:v>0</x:v>
      </x:c>
      <x:c r="L522" s="133" t="n">
        <x:v>0</x:v>
      </x:c>
      <x:c r="M522" s="133" t="n">
        <x:v>0</x:v>
      </x:c>
      <x:c r="N522" s="133" t="n">
        <x:v>0</x:v>
      </x:c>
      <x:c r="O522" s="133" t="n">
        <x:v>0</x:v>
      </x:c>
      <x:c r="P522" s="132"/>
    </x:row>
    <x:row r="523">
      <x:c r="A523" s="136" t="str">
        <x:v>01115040107</x:v>
      </x:c>
      <x:c r="B523" s="132" t="str">
        <x:v>St. Clair County</x:v>
      </x:c>
      <x:c r="C523" s="132" t="n">
        <x:v>0</x:v>
      </x:c>
      <x:c r="D523" s="134" t="n">
        <x:v>5901</x:v>
      </x:c>
      <x:c r="E523" s="133" t="n">
        <x:v>17</x:v>
      </x:c>
      <x:c r="F523" s="134" t="n">
        <x:v>5321</x:v>
      </x:c>
      <x:c r="G523" s="134" t="n">
        <x:v>0</x:v>
      </x:c>
      <x:c r="H523" s="134" t="n">
        <x:v>0</x:v>
      </x:c>
      <x:c r="I523" s="134" t="n">
        <x:v>0</x:v>
      </x:c>
      <x:c r="J523" s="133" t="n">
        <x:v>0</x:v>
      </x:c>
      <x:c r="K523" s="133" t="n">
        <x:v>0</x:v>
      </x:c>
      <x:c r="L523" s="133" t="n">
        <x:v>0</x:v>
      </x:c>
      <x:c r="M523" s="133" t="n">
        <x:v>0</x:v>
      </x:c>
      <x:c r="N523" s="133" t="n">
        <x:v>0</x:v>
      </x:c>
      <x:c r="O523" s="133" t="n">
        <x:v>0</x:v>
      </x:c>
      <x:c r="P523" s="132"/>
    </x:row>
    <x:row r="524">
      <x:c r="A524" s="136" t="str">
        <x:v>01115040108</x:v>
      </x:c>
      <x:c r="B524" s="132" t="str">
        <x:v>St. Clair County</x:v>
      </x:c>
      <x:c r="C524" s="132" t="n">
        <x:v>0</x:v>
      </x:c>
      <x:c r="D524" s="134" t="n">
        <x:v>5225</x:v>
      </x:c>
      <x:c r="E524" s="133" t="n">
        <x:v>2.6</x:v>
      </x:c>
      <x:c r="F524" s="134" t="n">
        <x:v>4570</x:v>
      </x:c>
      <x:c r="G524" s="134" t="n">
        <x:v>0</x:v>
      </x:c>
      <x:c r="H524" s="134" t="n">
        <x:v>0</x:v>
      </x:c>
      <x:c r="I524" s="134" t="n">
        <x:v>0</x:v>
      </x:c>
      <x:c r="J524" s="133" t="n">
        <x:v>0</x:v>
      </x:c>
      <x:c r="K524" s="133" t="n">
        <x:v>0</x:v>
      </x:c>
      <x:c r="L524" s="133" t="n">
        <x:v>0</x:v>
      </x:c>
      <x:c r="M524" s="133" t="n">
        <x:v>0</x:v>
      </x:c>
      <x:c r="N524" s="133" t="n">
        <x:v>0</x:v>
      </x:c>
      <x:c r="O524" s="133" t="n">
        <x:v>0</x:v>
      </x:c>
      <x:c r="P524" s="132"/>
    </x:row>
    <x:row r="525">
      <x:c r="A525" s="136" t="str">
        <x:v>01115040109</x:v>
      </x:c>
      <x:c r="B525" s="132" t="str">
        <x:v>St. Clair County</x:v>
      </x:c>
      <x:c r="C525" s="132" t="n">
        <x:v>0</x:v>
      </x:c>
      <x:c r="D525" s="134" t="n">
        <x:v>2819</x:v>
      </x:c>
      <x:c r="E525" s="133" t="n">
        <x:v>12.4</x:v>
      </x:c>
      <x:c r="F525" s="134" t="n">
        <x:v>1765</x:v>
      </x:c>
      <x:c r="G525" s="134" t="n">
        <x:v>0</x:v>
      </x:c>
      <x:c r="H525" s="134" t="n">
        <x:v>0</x:v>
      </x:c>
      <x:c r="I525" s="134" t="n">
        <x:v>0</x:v>
      </x:c>
      <x:c r="J525" s="133" t="n">
        <x:v>0</x:v>
      </x:c>
      <x:c r="K525" s="133" t="n">
        <x:v>0</x:v>
      </x:c>
      <x:c r="L525" s="133" t="n">
        <x:v>0</x:v>
      </x:c>
      <x:c r="M525" s="133" t="n">
        <x:v>0</x:v>
      </x:c>
      <x:c r="N525" s="133"/>
      <x:c r="O525" s="133" t="n">
        <x:v>0</x:v>
      </x:c>
      <x:c r="P525" s="132"/>
    </x:row>
    <x:row r="526">
      <x:c r="A526" s="136" t="str">
        <x:v>01115040110</x:v>
      </x:c>
      <x:c r="B526" s="132" t="str">
        <x:v>St. Clair County</x:v>
      </x:c>
      <x:c r="C526" s="132" t="n">
        <x:v>0</x:v>
      </x:c>
      <x:c r="D526" s="134" t="n">
        <x:v>4967</x:v>
      </x:c>
      <x:c r="E526" s="133" t="n">
        <x:v>12</x:v>
      </x:c>
      <x:c r="F526" s="134" t="n">
        <x:v>3418</x:v>
      </x:c>
      <x:c r="G526" s="134" t="n">
        <x:v>0</x:v>
      </x:c>
      <x:c r="H526" s="134" t="n">
        <x:v>0</x:v>
      </x:c>
      <x:c r="I526" s="134" t="n">
        <x:v>0</x:v>
      </x:c>
      <x:c r="J526" s="133" t="n">
        <x:v>0</x:v>
      </x:c>
      <x:c r="K526" s="133" t="n">
        <x:v>0</x:v>
      </x:c>
      <x:c r="L526" s="133" t="n">
        <x:v>0</x:v>
      </x:c>
      <x:c r="M526" s="133" t="n">
        <x:v>0</x:v>
      </x:c>
      <x:c r="N526" s="133" t="n">
        <x:v>0</x:v>
      </x:c>
      <x:c r="O526" s="133" t="n">
        <x:v>0</x:v>
      </x:c>
      <x:c r="P526" s="132"/>
    </x:row>
    <x:row r="527">
      <x:c r="A527" s="136" t="str">
        <x:v>01115040209</x:v>
      </x:c>
      <x:c r="B527" s="132" t="str">
        <x:v>St. Clair County</x:v>
      </x:c>
      <x:c r="C527" s="132" t="n">
        <x:v>0</x:v>
      </x:c>
      <x:c r="D527" s="134" t="n">
        <x:v>3312</x:v>
      </x:c>
      <x:c r="E527" s="133" t="n">
        <x:v>15.6</x:v>
      </x:c>
      <x:c r="F527" s="134" t="n">
        <x:v>2193</x:v>
      </x:c>
      <x:c r="G527" s="134" t="n">
        <x:v>0</x:v>
      </x:c>
      <x:c r="H527" s="134" t="n">
        <x:v>0</x:v>
      </x:c>
      <x:c r="I527" s="134" t="n">
        <x:v>0</x:v>
      </x:c>
      <x:c r="J527" s="133" t="n">
        <x:v>0</x:v>
      </x:c>
      <x:c r="K527" s="133" t="n">
        <x:v>0</x:v>
      </x:c>
      <x:c r="L527" s="133" t="n">
        <x:v>0</x:v>
      </x:c>
      <x:c r="M527" s="133" t="n">
        <x:v>0</x:v>
      </x:c>
      <x:c r="N527" s="133" t="n">
        <x:v>0</x:v>
      </x:c>
      <x:c r="O527" s="133" t="n">
        <x:v>0</x:v>
      </x:c>
      <x:c r="P527" s="132"/>
    </x:row>
    <x:row r="528">
      <x:c r="A528" s="136" t="str">
        <x:v>01115040211</x:v>
      </x:c>
      <x:c r="B528" s="132" t="str">
        <x:v>St. Clair County</x:v>
      </x:c>
      <x:c r="C528" s="132" t="n">
        <x:v>0</x:v>
      </x:c>
      <x:c r="D528" s="134" t="n">
        <x:v>3072</x:v>
      </x:c>
      <x:c r="E528" s="133" t="n">
        <x:v>31.3</x:v>
      </x:c>
      <x:c r="F528" s="134" t="n">
        <x:v>1592</x:v>
      </x:c>
      <x:c r="G528" s="134" t="n">
        <x:v>0</x:v>
      </x:c>
      <x:c r="H528" s="134" t="n">
        <x:v>0</x:v>
      </x:c>
      <x:c r="I528" s="134" t="n">
        <x:v>0</x:v>
      </x:c>
      <x:c r="J528" s="133" t="n">
        <x:v>0</x:v>
      </x:c>
      <x:c r="K528" s="133" t="n">
        <x:v>0</x:v>
      </x:c>
      <x:c r="L528" s="133" t="n">
        <x:v>0</x:v>
      </x:c>
      <x:c r="M528" s="133" t="n">
        <x:v>0</x:v>
      </x:c>
      <x:c r="N528" s="133" t="n">
        <x:v>0</x:v>
      </x:c>
      <x:c r="O528" s="133" t="n">
        <x:v>0</x:v>
      </x:c>
      <x:c r="P528" s="132"/>
    </x:row>
    <x:row r="529">
      <x:c r="A529" s="136" t="str">
        <x:v>01115040213</x:v>
      </x:c>
      <x:c r="B529" s="132" t="str">
        <x:v>St. Clair County</x:v>
      </x:c>
      <x:c r="C529" s="132" t="n">
        <x:v>0</x:v>
      </x:c>
      <x:c r="D529" s="134" t="n">
        <x:v>3249</x:v>
      </x:c>
      <x:c r="E529" s="133" t="n">
        <x:v>10</x:v>
      </x:c>
      <x:c r="F529" s="134" t="n">
        <x:v>2401</x:v>
      </x:c>
      <x:c r="G529" s="134" t="n">
        <x:v>0</x:v>
      </x:c>
      <x:c r="H529" s="134" t="n">
        <x:v>0</x:v>
      </x:c>
      <x:c r="I529" s="134" t="n">
        <x:v>0</x:v>
      </x:c>
      <x:c r="J529" s="133" t="n">
        <x:v>0</x:v>
      </x:c>
      <x:c r="K529" s="133" t="n">
        <x:v>0</x:v>
      </x:c>
      <x:c r="L529" s="133" t="n">
        <x:v>0</x:v>
      </x:c>
      <x:c r="M529" s="133" t="n">
        <x:v>0</x:v>
      </x:c>
      <x:c r="N529" s="133" t="n">
        <x:v>0</x:v>
      </x:c>
      <x:c r="O529" s="133" t="n">
        <x:v>0</x:v>
      </x:c>
      <x:c r="P529" s="132"/>
    </x:row>
    <x:row r="530">
      <x:c r="A530" s="136" t="str">
        <x:v>01115040504</x:v>
      </x:c>
      <x:c r="B530" s="132" t="str">
        <x:v>St. Clair County</x:v>
      </x:c>
      <x:c r="C530" s="132" t="n">
        <x:v>0</x:v>
      </x:c>
      <x:c r="D530" s="134" t="n">
        <x:v>5436</x:v>
      </x:c>
      <x:c r="E530" s="133" t="n">
        <x:v>1.3</x:v>
      </x:c>
      <x:c r="F530" s="134" t="n">
        <x:v>4843</x:v>
      </x:c>
      <x:c r="G530" s="134" t="n">
        <x:v>0</x:v>
      </x:c>
      <x:c r="H530" s="134" t="n">
        <x:v>0</x:v>
      </x:c>
      <x:c r="I530" s="134" t="n">
        <x:v>0</x:v>
      </x:c>
      <x:c r="J530" s="133" t="n">
        <x:v>0</x:v>
      </x:c>
      <x:c r="K530" s="133" t="n">
        <x:v>0</x:v>
      </x:c>
      <x:c r="L530" s="133" t="n">
        <x:v>0</x:v>
      </x:c>
      <x:c r="M530" s="133" t="n">
        <x:v>0</x:v>
      </x:c>
      <x:c r="N530" s="133" t="n">
        <x:v>0</x:v>
      </x:c>
      <x:c r="O530" s="133" t="n">
        <x:v>0</x:v>
      </x:c>
      <x:c r="P530" s="132"/>
    </x:row>
    <x:row r="531">
      <x:c r="A531" s="136" t="str">
        <x:v>01115040505</x:v>
      </x:c>
      <x:c r="B531" s="132" t="str">
        <x:v>St. Clair County</x:v>
      </x:c>
      <x:c r="C531" s="132" t="n">
        <x:v>0</x:v>
      </x:c>
      <x:c r="D531" s="134" t="n">
        <x:v>2154</x:v>
      </x:c>
      <x:c r="E531" s="133" t="n">
        <x:v>3.2</x:v>
      </x:c>
      <x:c r="F531" s="134" t="n">
        <x:v>1638</x:v>
      </x:c>
      <x:c r="G531" s="134" t="n">
        <x:v>0</x:v>
      </x:c>
      <x:c r="H531" s="134" t="n">
        <x:v>0</x:v>
      </x:c>
      <x:c r="I531" s="134" t="n">
        <x:v>0</x:v>
      </x:c>
      <x:c r="J531" s="133" t="n">
        <x:v>0</x:v>
      </x:c>
      <x:c r="K531" s="133" t="n">
        <x:v>0</x:v>
      </x:c>
      <x:c r="L531" s="133" t="n">
        <x:v>0</x:v>
      </x:c>
      <x:c r="M531" s="133" t="n">
        <x:v>0</x:v>
      </x:c>
      <x:c r="N531" s="133"/>
      <x:c r="O531" s="133" t="n">
        <x:v>0</x:v>
      </x:c>
      <x:c r="P531" s="132"/>
    </x:row>
    <x:row r="532">
      <x:c r="A532" s="136" t="str">
        <x:v>01115040506</x:v>
      </x:c>
      <x:c r="B532" s="132" t="str">
        <x:v>St. Clair County</x:v>
      </x:c>
      <x:c r="C532" s="132" t="n">
        <x:v>0</x:v>
      </x:c>
      <x:c r="D532" s="134" t="n">
        <x:v>5659</x:v>
      </x:c>
      <x:c r="E532" s="133" t="n">
        <x:v>8.1</x:v>
      </x:c>
      <x:c r="F532" s="134" t="n">
        <x:v>4466</x:v>
      </x:c>
      <x:c r="G532" s="134" t="n">
        <x:v>0</x:v>
      </x:c>
      <x:c r="H532" s="134" t="n">
        <x:v>0</x:v>
      </x:c>
      <x:c r="I532" s="134" t="n">
        <x:v>0</x:v>
      </x:c>
      <x:c r="J532" s="133" t="n">
        <x:v>0</x:v>
      </x:c>
      <x:c r="K532" s="133" t="n">
        <x:v>0</x:v>
      </x:c>
      <x:c r="L532" s="133" t="n">
        <x:v>0</x:v>
      </x:c>
      <x:c r="M532" s="133" t="n">
        <x:v>0</x:v>
      </x:c>
      <x:c r="N532" s="133" t="n">
        <x:v>0</x:v>
      </x:c>
      <x:c r="O532" s="133" t="n">
        <x:v>0</x:v>
      </x:c>
      <x:c r="P532" s="132"/>
    </x:row>
    <x:row r="533">
      <x:c r="A533" s="136" t="str">
        <x:v>01115040507</x:v>
      </x:c>
      <x:c r="B533" s="132" t="str">
        <x:v>St. Clair County</x:v>
      </x:c>
      <x:c r="C533" s="132" t="n">
        <x:v>0</x:v>
      </x:c>
      <x:c r="D533" s="134" t="n">
        <x:v>3303</x:v>
      </x:c>
      <x:c r="E533" s="133" t="n">
        <x:v>4.7</x:v>
      </x:c>
      <x:c r="F533" s="134" t="n">
        <x:v>2234</x:v>
      </x:c>
      <x:c r="G533" s="134" t="n">
        <x:v>0</x:v>
      </x:c>
      <x:c r="H533" s="134" t="n">
        <x:v>0</x:v>
      </x:c>
      <x:c r="I533" s="134" t="n">
        <x:v>0</x:v>
      </x:c>
      <x:c r="J533" s="133" t="n">
        <x:v>0</x:v>
      </x:c>
      <x:c r="K533" s="133" t="n">
        <x:v>0</x:v>
      </x:c>
      <x:c r="L533" s="133" t="n">
        <x:v>0</x:v>
      </x:c>
      <x:c r="M533" s="133" t="n">
        <x:v>0</x:v>
      </x:c>
      <x:c r="N533" s="133" t="n">
        <x:v>0</x:v>
      </x:c>
      <x:c r="O533" s="133" t="n">
        <x:v>0</x:v>
      </x:c>
      <x:c r="P533" s="132"/>
    </x:row>
    <x:row r="534">
      <x:c r="A534" s="136" t="str">
        <x:v>01117030211</x:v>
      </x:c>
      <x:c r="B534" s="132" t="str">
        <x:v>Shelby County</x:v>
      </x:c>
      <x:c r="C534" s="132" t="n">
        <x:v>0</x:v>
      </x:c>
      <x:c r="D534" s="134" t="n">
        <x:v>3097</x:v>
      </x:c>
      <x:c r="E534" s="133" t="n">
        <x:v>1.2</x:v>
      </x:c>
      <x:c r="F534" s="134" t="n">
        <x:v>2721</x:v>
      </x:c>
      <x:c r="G534" s="134" t="n">
        <x:v>0</x:v>
      </x:c>
      <x:c r="H534" s="134" t="n">
        <x:v>0</x:v>
      </x:c>
      <x:c r="I534" s="134" t="n">
        <x:v>0</x:v>
      </x:c>
      <x:c r="J534" s="133" t="n">
        <x:v>0</x:v>
      </x:c>
      <x:c r="K534" s="133" t="n">
        <x:v>0</x:v>
      </x:c>
      <x:c r="L534" s="133" t="n">
        <x:v>0</x:v>
      </x:c>
      <x:c r="M534" s="133" t="n">
        <x:v>0</x:v>
      </x:c>
      <x:c r="N534" s="133"/>
      <x:c r="O534" s="133" t="n">
        <x:v>0</x:v>
      </x:c>
      <x:c r="P534" s="132"/>
    </x:row>
    <x:row r="535">
      <x:c r="A535" s="136" t="str">
        <x:v>01117030218</x:v>
      </x:c>
      <x:c r="B535" s="132" t="str">
        <x:v>Shelby County</x:v>
      </x:c>
      <x:c r="C535" s="132" t="n">
        <x:v>0</x:v>
      </x:c>
      <x:c r="D535" s="134" t="n">
        <x:v>4808</x:v>
      </x:c>
      <x:c r="E535" s="133" t="n">
        <x:v>4.3</x:v>
      </x:c>
      <x:c r="F535" s="134" t="n">
        <x:v>4638</x:v>
      </x:c>
      <x:c r="G535" s="134" t="n">
        <x:v>0</x:v>
      </x:c>
      <x:c r="H535" s="134" t="n">
        <x:v>0</x:v>
      </x:c>
      <x:c r="I535" s="134" t="n">
        <x:v>0</x:v>
      </x:c>
      <x:c r="J535" s="133" t="n">
        <x:v>0</x:v>
      </x:c>
      <x:c r="K535" s="133" t="n">
        <x:v>0</x:v>
      </x:c>
      <x:c r="L535" s="133" t="n">
        <x:v>0</x:v>
      </x:c>
      <x:c r="M535" s="133" t="n">
        <x:v>0</x:v>
      </x:c>
      <x:c r="N535" s="133" t="n">
        <x:v>0</x:v>
      </x:c>
      <x:c r="O535" s="133" t="n">
        <x:v>0</x:v>
      </x:c>
      <x:c r="P535" s="132"/>
    </x:row>
    <x:row r="536">
      <x:c r="A536" s="136" t="str">
        <x:v>01117030219</x:v>
      </x:c>
      <x:c r="B536" s="132" t="str">
        <x:v>Shelby County</x:v>
      </x:c>
      <x:c r="C536" s="132" t="n">
        <x:v>0</x:v>
      </x:c>
      <x:c r="D536" s="134" t="n">
        <x:v>5059</x:v>
      </x:c>
      <x:c r="E536" s="133" t="n">
        <x:v>1.2</x:v>
      </x:c>
      <x:c r="F536" s="134" t="n">
        <x:v>4691</x:v>
      </x:c>
      <x:c r="G536" s="134" t="n">
        <x:v>0</x:v>
      </x:c>
      <x:c r="H536" s="134" t="n">
        <x:v>0</x:v>
      </x:c>
      <x:c r="I536" s="134" t="n">
        <x:v>0</x:v>
      </x:c>
      <x:c r="J536" s="133" t="n">
        <x:v>0</x:v>
      </x:c>
      <x:c r="K536" s="133" t="n">
        <x:v>0</x:v>
      </x:c>
      <x:c r="L536" s="133" t="n">
        <x:v>0</x:v>
      </x:c>
      <x:c r="M536" s="133" t="n">
        <x:v>0</x:v>
      </x:c>
      <x:c r="N536" s="133" t="n">
        <x:v>0</x:v>
      </x:c>
      <x:c r="O536" s="133" t="n">
        <x:v>0</x:v>
      </x:c>
      <x:c r="P536" s="132"/>
    </x:row>
    <x:row r="537">
      <x:c r="A537" s="136" t="str">
        <x:v>01117030345</x:v>
      </x:c>
      <x:c r="B537" s="132" t="str">
        <x:v>Shelby County</x:v>
      </x:c>
      <x:c r="C537" s="132" t="n">
        <x:v>0</x:v>
      </x:c>
      <x:c r="D537" s="134" t="n">
        <x:v>3616</x:v>
      </x:c>
      <x:c r="E537" s="133" t="n">
        <x:v>3.8</x:v>
      </x:c>
      <x:c r="F537" s="134" t="n">
        <x:v>2821</x:v>
      </x:c>
      <x:c r="G537" s="134" t="n">
        <x:v>0</x:v>
      </x:c>
      <x:c r="H537" s="134" t="n">
        <x:v>0</x:v>
      </x:c>
      <x:c r="I537" s="134" t="n">
        <x:v>0</x:v>
      </x:c>
      <x:c r="J537" s="133" t="n">
        <x:v>0</x:v>
      </x:c>
      <x:c r="K537" s="133" t="n">
        <x:v>0</x:v>
      </x:c>
      <x:c r="L537" s="133" t="n">
        <x:v>0</x:v>
      </x:c>
      <x:c r="M537" s="133" t="n">
        <x:v>0</x:v>
      </x:c>
      <x:c r="N537" s="133" t="n">
        <x:v>0</x:v>
      </x:c>
      <x:c r="O537" s="133" t="n">
        <x:v>0</x:v>
      </x:c>
      <x:c r="P537" s="132"/>
    </x:row>
    <x:row r="538">
      <x:c r="A538" s="136" t="str">
        <x:v>01117030349</x:v>
      </x:c>
      <x:c r="B538" s="132" t="str">
        <x:v>Shelby County</x:v>
      </x:c>
      <x:c r="C538" s="132" t="n">
        <x:v>0</x:v>
      </x:c>
      <x:c r="D538" s="134" t="n">
        <x:v>1226</x:v>
      </x:c>
      <x:c r="E538" s="133" t="n">
        <x:v>19</x:v>
      </x:c>
      <x:c r="F538" s="134" t="n">
        <x:v>894</x:v>
      </x:c>
      <x:c r="G538" s="134" t="n">
        <x:v>0</x:v>
      </x:c>
      <x:c r="H538" s="134" t="n">
        <x:v>0</x:v>
      </x:c>
      <x:c r="I538" s="134" t="n">
        <x:v>0</x:v>
      </x:c>
      <x:c r="J538" s="133" t="n">
        <x:v>0</x:v>
      </x:c>
      <x:c r="K538" s="133" t="n">
        <x:v>0</x:v>
      </x:c>
      <x:c r="L538" s="133" t="n">
        <x:v>0</x:v>
      </x:c>
      <x:c r="M538" s="133" t="n">
        <x:v>0</x:v>
      </x:c>
      <x:c r="N538" s="133"/>
      <x:c r="O538" s="133" t="n">
        <x:v>0</x:v>
      </x:c>
      <x:c r="P538" s="132"/>
    </x:row>
    <x:row r="539">
      <x:c r="A539" s="136" t="str">
        <x:v>01117030351</x:v>
      </x:c>
      <x:c r="B539" s="132" t="str">
        <x:v>Shelby County</x:v>
      </x:c>
      <x:c r="C539" s="132" t="n">
        <x:v>0</x:v>
      </x:c>
      <x:c r="D539" s="134" t="n">
        <x:v>3043</x:v>
      </x:c>
      <x:c r="E539" s="133" t="n">
        <x:v>0</x:v>
      </x:c>
      <x:c r="F539" s="134" t="n">
        <x:v>4134</x:v>
      </x:c>
      <x:c r="G539" s="134" t="n">
        <x:v>0</x:v>
      </x:c>
      <x:c r="H539" s="134" t="n">
        <x:v>0</x:v>
      </x:c>
      <x:c r="I539" s="134" t="n">
        <x:v>0</x:v>
      </x:c>
      <x:c r="J539" s="133" t="n">
        <x:v>0</x:v>
      </x:c>
      <x:c r="K539" s="133" t="n">
        <x:v>0</x:v>
      </x:c>
      <x:c r="L539" s="133" t="n">
        <x:v>0</x:v>
      </x:c>
      <x:c r="M539" s="133" t="n">
        <x:v>0</x:v>
      </x:c>
      <x:c r="N539" s="133" t="n">
        <x:v>0</x:v>
      </x:c>
      <x:c r="O539" s="133"/>
      <x:c r="P539" s="132"/>
    </x:row>
    <x:row r="540">
      <x:c r="A540" s="136" t="str">
        <x:v>01117030405</x:v>
      </x:c>
      <x:c r="B540" s="132" t="str">
        <x:v>Shelby County</x:v>
      </x:c>
      <x:c r="C540" s="132" t="n">
        <x:v>0</x:v>
      </x:c>
      <x:c r="D540" s="134" t="n">
        <x:v>1265</x:v>
      </x:c>
      <x:c r="E540" s="133" t="n">
        <x:v>17.6</x:v>
      </x:c>
      <x:c r="F540" s="134" t="n">
        <x:v>614</x:v>
      </x:c>
      <x:c r="G540" s="134" t="n">
        <x:v>0</x:v>
      </x:c>
      <x:c r="H540" s="134" t="n">
        <x:v>0</x:v>
      </x:c>
      <x:c r="I540" s="134" t="n">
        <x:v>0</x:v>
      </x:c>
      <x:c r="J540" s="133" t="n">
        <x:v>0</x:v>
      </x:c>
      <x:c r="K540" s="133" t="n">
        <x:v>0</x:v>
      </x:c>
      <x:c r="L540" s="133" t="n">
        <x:v>0</x:v>
      </x:c>
      <x:c r="M540" s="133" t="n">
        <x:v>0</x:v>
      </x:c>
      <x:c r="N540" s="133" t="n">
        <x:v>0</x:v>
      </x:c>
      <x:c r="O540" s="133" t="n">
        <x:v>0</x:v>
      </x:c>
      <x:c r="P540" s="132"/>
    </x:row>
    <x:row r="541">
      <x:c r="A541" s="136" t="str">
        <x:v>01117030406</x:v>
      </x:c>
      <x:c r="B541" s="132" t="str">
        <x:v>Shelby County</x:v>
      </x:c>
      <x:c r="C541" s="132" t="n">
        <x:v>0</x:v>
      </x:c>
      <x:c r="D541" s="134" t="n">
        <x:v>3735</x:v>
      </x:c>
      <x:c r="E541" s="133" t="n">
        <x:v>10.8</x:v>
      </x:c>
      <x:c r="F541" s="134" t="n">
        <x:v>2223</x:v>
      </x:c>
      <x:c r="G541" s="134" t="n">
        <x:v>0</x:v>
      </x:c>
      <x:c r="H541" s="134" t="n">
        <x:v>0</x:v>
      </x:c>
      <x:c r="I541" s="134" t="n">
        <x:v>0</x:v>
      </x:c>
      <x:c r="J541" s="133" t="n">
        <x:v>0</x:v>
      </x:c>
      <x:c r="K541" s="133" t="n">
        <x:v>0</x:v>
      </x:c>
      <x:c r="L541" s="133" t="n">
        <x:v>0</x:v>
      </x:c>
      <x:c r="M541" s="133" t="n">
        <x:v>0</x:v>
      </x:c>
      <x:c r="N541" s="133" t="n">
        <x:v>0</x:v>
      </x:c>
      <x:c r="O541" s="133" t="n">
        <x:v>0</x:v>
      </x:c>
      <x:c r="P541" s="132"/>
    </x:row>
    <x:row r="542">
      <x:c r="A542" s="136" t="str">
        <x:v>01117030408</x:v>
      </x:c>
      <x:c r="B542" s="132" t="str">
        <x:v>Shelby County</x:v>
      </x:c>
      <x:c r="C542" s="132" t="n">
        <x:v>0</x:v>
      </x:c>
      <x:c r="D542" s="134" t="n">
        <x:v>3165</x:v>
      </x:c>
      <x:c r="E542" s="133" t="n">
        <x:v>22.9</x:v>
      </x:c>
      <x:c r="F542" s="134" t="n">
        <x:v>2191</x:v>
      </x:c>
      <x:c r="G542" s="134" t="n">
        <x:v>0</x:v>
      </x:c>
      <x:c r="H542" s="134" t="n">
        <x:v>0</x:v>
      </x:c>
      <x:c r="I542" s="134" t="n">
        <x:v>0</x:v>
      </x:c>
      <x:c r="J542" s="133" t="n">
        <x:v>0</x:v>
      </x:c>
      <x:c r="K542" s="133" t="n">
        <x:v>0</x:v>
      </x:c>
      <x:c r="L542" s="133" t="n">
        <x:v>0</x:v>
      </x:c>
      <x:c r="M542" s="133" t="n">
        <x:v>0</x:v>
      </x:c>
      <x:c r="N542" s="133" t="n">
        <x:v>0</x:v>
      </x:c>
      <x:c r="O542" s="133" t="n">
        <x:v>0</x:v>
      </x:c>
      <x:c r="P542" s="132"/>
    </x:row>
    <x:row r="543">
      <x:c r="A543" s="136" t="str">
        <x:v>01117030503</x:v>
      </x:c>
      <x:c r="B543" s="132" t="str">
        <x:v>Shelby County</x:v>
      </x:c>
      <x:c r="C543" s="132" t="n">
        <x:v>0</x:v>
      </x:c>
      <x:c r="D543" s="134" t="n">
        <x:v>4186</x:v>
      </x:c>
      <x:c r="E543" s="133" t="n">
        <x:v>8.6</x:v>
      </x:c>
      <x:c r="F543" s="134" t="n">
        <x:v>3029</x:v>
      </x:c>
      <x:c r="G543" s="134" t="n">
        <x:v>0</x:v>
      </x:c>
      <x:c r="H543" s="134" t="n">
        <x:v>0</x:v>
      </x:c>
      <x:c r="I543" s="134" t="n">
        <x:v>0</x:v>
      </x:c>
      <x:c r="J543" s="133" t="n">
        <x:v>0</x:v>
      </x:c>
      <x:c r="K543" s="133" t="n">
        <x:v>0</x:v>
      </x:c>
      <x:c r="L543" s="133" t="n">
        <x:v>0</x:v>
      </x:c>
      <x:c r="M543" s="133" t="n">
        <x:v>0</x:v>
      </x:c>
      <x:c r="N543" s="133" t="n">
        <x:v>0</x:v>
      </x:c>
      <x:c r="O543" s="133" t="n">
        <x:v>0</x:v>
      </x:c>
      <x:c r="P543" s="132"/>
    </x:row>
    <x:row r="544">
      <x:c r="A544" s="136" t="str">
        <x:v>01117030504</x:v>
      </x:c>
      <x:c r="B544" s="132" t="str">
        <x:v>Shelby County</x:v>
      </x:c>
      <x:c r="C544" s="132" t="n">
        <x:v>0</x:v>
      </x:c>
      <x:c r="D544" s="134" t="n">
        <x:v>3748</x:v>
      </x:c>
      <x:c r="E544" s="133" t="n">
        <x:v>17.4</x:v>
      </x:c>
      <x:c r="F544" s="134" t="n">
        <x:v>2558</x:v>
      </x:c>
      <x:c r="G544" s="134" t="n">
        <x:v>0</x:v>
      </x:c>
      <x:c r="H544" s="134" t="n">
        <x:v>0</x:v>
      </x:c>
      <x:c r="I544" s="134" t="n">
        <x:v>0</x:v>
      </x:c>
      <x:c r="J544" s="133" t="n">
        <x:v>0</x:v>
      </x:c>
      <x:c r="K544" s="133" t="n">
        <x:v>0</x:v>
      </x:c>
      <x:c r="L544" s="133" t="n">
        <x:v>0</x:v>
      </x:c>
      <x:c r="M544" s="133" t="n">
        <x:v>0</x:v>
      </x:c>
      <x:c r="N544" s="133" t="n">
        <x:v>0</x:v>
      </x:c>
      <x:c r="O544" s="133" t="n">
        <x:v>0</x:v>
      </x:c>
      <x:c r="P544" s="132"/>
    </x:row>
    <x:row r="545">
      <x:c r="A545" s="136" t="str">
        <x:v>01117030611</x:v>
      </x:c>
      <x:c r="B545" s="132" t="str">
        <x:v>Shelby County</x:v>
      </x:c>
      <x:c r="C545" s="132" t="n">
        <x:v>0</x:v>
      </x:c>
      <x:c r="D545" s="134" t="n">
        <x:v>3206</x:v>
      </x:c>
      <x:c r="E545" s="133" t="n">
        <x:v>4.3</x:v>
      </x:c>
      <x:c r="F545" s="134" t="n">
        <x:v>2727</x:v>
      </x:c>
      <x:c r="G545" s="134" t="n">
        <x:v>0</x:v>
      </x:c>
      <x:c r="H545" s="134" t="n">
        <x:v>0</x:v>
      </x:c>
      <x:c r="I545" s="134" t="n">
        <x:v>0</x:v>
      </x:c>
      <x:c r="J545" s="133" t="n">
        <x:v>0</x:v>
      </x:c>
      <x:c r="K545" s="133" t="n">
        <x:v>0</x:v>
      </x:c>
      <x:c r="L545" s="133" t="n">
        <x:v>0</x:v>
      </x:c>
      <x:c r="M545" s="133" t="n">
        <x:v>0</x:v>
      </x:c>
      <x:c r="N545" s="133" t="n">
        <x:v>0</x:v>
      </x:c>
      <x:c r="O545" s="133" t="n">
        <x:v>0</x:v>
      </x:c>
      <x:c r="P545" s="132"/>
    </x:row>
    <x:row r="546">
      <x:c r="A546" s="136" t="str">
        <x:v>01117030612</x:v>
      </x:c>
      <x:c r="B546" s="132" t="str">
        <x:v>Shelby County</x:v>
      </x:c>
      <x:c r="C546" s="132" t="n">
        <x:v>0</x:v>
      </x:c>
      <x:c r="D546" s="134" t="n">
        <x:v>2210</x:v>
      </x:c>
      <x:c r="E546" s="133" t="n">
        <x:v>5.3</x:v>
      </x:c>
      <x:c r="F546" s="134" t="n">
        <x:v>2645</x:v>
      </x:c>
      <x:c r="G546" s="134" t="n">
        <x:v>0</x:v>
      </x:c>
      <x:c r="H546" s="134" t="n">
        <x:v>0</x:v>
      </x:c>
      <x:c r="I546" s="134" t="n">
        <x:v>0</x:v>
      </x:c>
      <x:c r="J546" s="133" t="n">
        <x:v>0</x:v>
      </x:c>
      <x:c r="K546" s="133" t="n">
        <x:v>0</x:v>
      </x:c>
      <x:c r="L546" s="133" t="n">
        <x:v>0</x:v>
      </x:c>
      <x:c r="M546" s="133" t="n">
        <x:v>0</x:v>
      </x:c>
      <x:c r="N546" s="133" t="n">
        <x:v>0</x:v>
      </x:c>
      <x:c r="O546" s="133" t="n">
        <x:v>0</x:v>
      </x:c>
      <x:c r="P546" s="132"/>
    </x:row>
    <x:row r="547">
      <x:c r="A547" s="136" t="str">
        <x:v>01117030614</x:v>
      </x:c>
      <x:c r="B547" s="132" t="str">
        <x:v>Shelby County</x:v>
      </x:c>
      <x:c r="C547" s="132" t="n">
        <x:v>0</x:v>
      </x:c>
      <x:c r="D547" s="134" t="n">
        <x:v>4203</x:v>
      </x:c>
      <x:c r="E547" s="133" t="n">
        <x:v>4.1</x:v>
      </x:c>
      <x:c r="F547" s="134" t="n">
        <x:v>3234</x:v>
      </x:c>
      <x:c r="G547" s="134" t="n">
        <x:v>0</x:v>
      </x:c>
      <x:c r="H547" s="134" t="n">
        <x:v>0</x:v>
      </x:c>
      <x:c r="I547" s="134" t="n">
        <x:v>0</x:v>
      </x:c>
      <x:c r="J547" s="133" t="n">
        <x:v>0</x:v>
      </x:c>
      <x:c r="K547" s="133" t="n">
        <x:v>0</x:v>
      </x:c>
      <x:c r="L547" s="133" t="n">
        <x:v>0</x:v>
      </x:c>
      <x:c r="M547" s="133" t="n">
        <x:v>0</x:v>
      </x:c>
      <x:c r="N547" s="133" t="n">
        <x:v>0</x:v>
      </x:c>
      <x:c r="O547" s="133" t="n">
        <x:v>0</x:v>
      </x:c>
      <x:c r="P547" s="132"/>
    </x:row>
    <x:row r="548">
      <x:c r="A548" s="136" t="str">
        <x:v>01117030701</x:v>
      </x:c>
      <x:c r="B548" s="132" t="str">
        <x:v>Shelby County</x:v>
      </x:c>
      <x:c r="C548" s="132" t="n">
        <x:v>0</x:v>
      </x:c>
      <x:c r="D548" s="134" t="n">
        <x:v>5077</x:v>
      </x:c>
      <x:c r="E548" s="133" t="n">
        <x:v>5.4</x:v>
      </x:c>
      <x:c r="F548" s="134" t="n">
        <x:v>3388</x:v>
      </x:c>
      <x:c r="G548" s="134" t="n">
        <x:v>0</x:v>
      </x:c>
      <x:c r="H548" s="134" t="n">
        <x:v>0</x:v>
      </x:c>
      <x:c r="I548" s="134" t="n">
        <x:v>0</x:v>
      </x:c>
      <x:c r="J548" s="133" t="n">
        <x:v>0</x:v>
      </x:c>
      <x:c r="K548" s="133" t="n">
        <x:v>0</x:v>
      </x:c>
      <x:c r="L548" s="133" t="n">
        <x:v>0</x:v>
      </x:c>
      <x:c r="M548" s="133" t="n">
        <x:v>0</x:v>
      </x:c>
      <x:c r="N548" s="133" t="n">
        <x:v>0</x:v>
      </x:c>
      <x:c r="O548" s="133" t="n">
        <x:v>0</x:v>
      </x:c>
      <x:c r="P548" s="132"/>
    </x:row>
    <x:row r="549">
      <x:c r="A549" s="136" t="str">
        <x:v>01117030703</x:v>
      </x:c>
      <x:c r="B549" s="132" t="str">
        <x:v>Shelby County</x:v>
      </x:c>
      <x:c r="C549" s="132" t="n">
        <x:v>0</x:v>
      </x:c>
      <x:c r="D549" s="134" t="n">
        <x:v>3735</x:v>
      </x:c>
      <x:c r="E549" s="133" t="n">
        <x:v>12.5</x:v>
      </x:c>
      <x:c r="F549" s="134" t="n">
        <x:v>3269</x:v>
      </x:c>
      <x:c r="G549" s="134" t="n">
        <x:v>0</x:v>
      </x:c>
      <x:c r="H549" s="134" t="n">
        <x:v>0</x:v>
      </x:c>
      <x:c r="I549" s="134" t="n">
        <x:v>0</x:v>
      </x:c>
      <x:c r="J549" s="133" t="n">
        <x:v>0</x:v>
      </x:c>
      <x:c r="K549" s="133" t="n">
        <x:v>0</x:v>
      </x:c>
      <x:c r="L549" s="133" t="n">
        <x:v>0</x:v>
      </x:c>
      <x:c r="M549" s="133" t="n">
        <x:v>0</x:v>
      </x:c>
      <x:c r="N549" s="133" t="n">
        <x:v>0</x:v>
      </x:c>
      <x:c r="O549" s="133" t="n">
        <x:v>0</x:v>
      </x:c>
      <x:c r="P549" s="132"/>
    </x:row>
    <x:row r="550">
      <x:c r="A550" s="136" t="str">
        <x:v>01117980000</x:v>
      </x:c>
      <x:c r="B550" s="132" t="str">
        <x:v>Shelby County</x:v>
      </x:c>
      <x:c r="C550" s="132" t="n">
        <x:v>0</x:v>
      </x:c>
      <x:c r="D550" s="134" t="n">
        <x:v>14</x:v>
      </x:c>
      <x:c r="E550" s="133"/>
      <x:c r="F550" s="134" t="n">
        <x:v>0</x:v>
      </x:c>
      <x:c r="G550" s="134" t="n">
        <x:v>0</x:v>
      </x:c>
      <x:c r="H550" s="134" t="n">
        <x:v>0</x:v>
      </x:c>
      <x:c r="I550" s="134" t="n">
        <x:v>0</x:v>
      </x:c>
      <x:c r="J550" s="133" t="n">
        <x:v>0</x:v>
      </x:c>
      <x:c r="K550" s="133"/>
      <x:c r="L550" s="133" t="n">
        <x:v>0</x:v>
      </x:c>
      <x:c r="M550" s="133" t="n">
        <x:v>0</x:v>
      </x:c>
      <x:c r="N550" s="133"/>
      <x:c r="O550" s="133"/>
      <x:c r="P550" s="132"/>
    </x:row>
    <x:row r="551">
      <x:c r="A551" s="136" t="str">
        <x:v>01117980100</x:v>
      </x:c>
      <x:c r="B551" s="132" t="str">
        <x:v>Shelby County</x:v>
      </x:c>
      <x:c r="C551" s="132" t="n">
        <x:v>0</x:v>
      </x:c>
      <x:c r="D551" s="134" t="n">
        <x:v>4</x:v>
      </x:c>
      <x:c r="E551" s="133"/>
      <x:c r="F551" s="134" t="n">
        <x:v>0</x:v>
      </x:c>
      <x:c r="G551" s="134" t="n">
        <x:v>0</x:v>
      </x:c>
      <x:c r="H551" s="134" t="n">
        <x:v>0</x:v>
      </x:c>
      <x:c r="I551" s="134" t="n">
        <x:v>0</x:v>
      </x:c>
      <x:c r="J551" s="133" t="n">
        <x:v>0</x:v>
      </x:c>
      <x:c r="K551" s="133"/>
      <x:c r="L551" s="133" t="n">
        <x:v>0</x:v>
      </x:c>
      <x:c r="M551" s="133" t="n">
        <x:v>0</x:v>
      </x:c>
      <x:c r="N551" s="133"/>
      <x:c r="O551" s="133"/>
      <x:c r="P551" s="132"/>
    </x:row>
    <x:row r="552">
      <x:c r="A552" s="136" t="str">
        <x:v>01121010202</x:v>
      </x:c>
      <x:c r="B552" s="132" t="str">
        <x:v>Talladega County</x:v>
      </x:c>
      <x:c r="C552" s="132" t="n">
        <x:v>0</x:v>
      </x:c>
      <x:c r="D552" s="134" t="n">
        <x:v>4311</x:v>
      </x:c>
      <x:c r="E552" s="133" t="n">
        <x:v>12.1</x:v>
      </x:c>
      <x:c r="F552" s="134" t="n">
        <x:v>2827</x:v>
      </x:c>
      <x:c r="G552" s="134" t="n">
        <x:v>0</x:v>
      </x:c>
      <x:c r="H552" s="134" t="n">
        <x:v>0</x:v>
      </x:c>
      <x:c r="I552" s="134" t="n">
        <x:v>0</x:v>
      </x:c>
      <x:c r="J552" s="133" t="n">
        <x:v>0</x:v>
      </x:c>
      <x:c r="K552" s="133" t="n">
        <x:v>0</x:v>
      </x:c>
      <x:c r="L552" s="133" t="n">
        <x:v>0</x:v>
      </x:c>
      <x:c r="M552" s="133" t="n">
        <x:v>0</x:v>
      </x:c>
      <x:c r="N552" s="133" t="n">
        <x:v>0</x:v>
      </x:c>
      <x:c r="O552" s="133" t="n">
        <x:v>0</x:v>
      </x:c>
      <x:c r="P552" s="132"/>
    </x:row>
    <x:row r="553">
      <x:c r="A553" s="136" t="str">
        <x:v>01121010301</x:v>
      </x:c>
      <x:c r="B553" s="132" t="str">
        <x:v>Talladega County</x:v>
      </x:c>
      <x:c r="C553" s="132" t="n">
        <x:v>0</x:v>
      </x:c>
      <x:c r="D553" s="134" t="n">
        <x:v>3133</x:v>
      </x:c>
      <x:c r="E553" s="133" t="n">
        <x:v>15.9</x:v>
      </x:c>
      <x:c r="F553" s="134" t="n">
        <x:v>1862</x:v>
      </x:c>
      <x:c r="G553" s="134" t="n">
        <x:v>0</x:v>
      </x:c>
      <x:c r="H553" s="134" t="n">
        <x:v>0</x:v>
      </x:c>
      <x:c r="I553" s="134" t="n">
        <x:v>0</x:v>
      </x:c>
      <x:c r="J553" s="133" t="n">
        <x:v>0</x:v>
      </x:c>
      <x:c r="K553" s="133" t="n">
        <x:v>0</x:v>
      </x:c>
      <x:c r="L553" s="133" t="n">
        <x:v>0</x:v>
      </x:c>
      <x:c r="M553" s="133" t="n">
        <x:v>0</x:v>
      </x:c>
      <x:c r="N553" s="133" t="n">
        <x:v>0</x:v>
      </x:c>
      <x:c r="O553" s="133" t="n">
        <x:v>0</x:v>
      </x:c>
      <x:c r="P553" s="132"/>
    </x:row>
    <x:row r="554">
      <x:c r="A554" s="136" t="str">
        <x:v>01121010500</x:v>
      </x:c>
      <x:c r="B554" s="132" t="str">
        <x:v>Talladega County</x:v>
      </x:c>
      <x:c r="C554" s="132" t="n">
        <x:v>0</x:v>
      </x:c>
      <x:c r="D554" s="134" t="n">
        <x:v>2713</x:v>
      </x:c>
      <x:c r="E554" s="133" t="n">
        <x:v>23.8</x:v>
      </x:c>
      <x:c r="F554" s="134" t="n">
        <x:v>1567</x:v>
      </x:c>
      <x:c r="G554" s="134" t="n">
        <x:v>0</x:v>
      </x:c>
      <x:c r="H554" s="134" t="n">
        <x:v>0</x:v>
      </x:c>
      <x:c r="I554" s="134" t="n">
        <x:v>0</x:v>
      </x:c>
      <x:c r="J554" s="133" t="n">
        <x:v>0</x:v>
      </x:c>
      <x:c r="K554" s="133" t="n">
        <x:v>0</x:v>
      </x:c>
      <x:c r="L554" s="133" t="n">
        <x:v>0</x:v>
      </x:c>
      <x:c r="M554" s="133" t="n">
        <x:v>0</x:v>
      </x:c>
      <x:c r="N554" s="133" t="n">
        <x:v>0</x:v>
      </x:c>
      <x:c r="O554" s="133" t="n">
        <x:v>0</x:v>
      </x:c>
      <x:c r="P554" s="132"/>
    </x:row>
    <x:row r="555">
      <x:c r="A555" s="136" t="str">
        <x:v>01121010700</x:v>
      </x:c>
      <x:c r="B555" s="132" t="str">
        <x:v>Talladega County</x:v>
      </x:c>
      <x:c r="C555" s="132" t="n">
        <x:v>0</x:v>
      </x:c>
      <x:c r="D555" s="134" t="n">
        <x:v>2966</x:v>
      </x:c>
      <x:c r="E555" s="133" t="n">
        <x:v>10</x:v>
      </x:c>
      <x:c r="F555" s="134" t="n">
        <x:v>607</x:v>
      </x:c>
      <x:c r="G555" s="134" t="n">
        <x:v>0</x:v>
      </x:c>
      <x:c r="H555" s="134" t="n">
        <x:v>0</x:v>
      </x:c>
      <x:c r="I555" s="134" t="n">
        <x:v>0</x:v>
      </x:c>
      <x:c r="J555" s="133" t="n">
        <x:v>0</x:v>
      </x:c>
      <x:c r="K555" s="133" t="n">
        <x:v>0</x:v>
      </x:c>
      <x:c r="L555" s="133" t="n">
        <x:v>0</x:v>
      </x:c>
      <x:c r="M555" s="133" t="n">
        <x:v>0</x:v>
      </x:c>
      <x:c r="N555" s="133" t="n">
        <x:v>0</x:v>
      </x:c>
      <x:c r="O555" s="133" t="n">
        <x:v>0</x:v>
      </x:c>
      <x:c r="P555" s="132"/>
    </x:row>
    <x:row r="556">
      <x:c r="A556" s="136" t="str">
        <x:v>01121011400</x:v>
      </x:c>
      <x:c r="B556" s="132" t="str">
        <x:v>Talladega County</x:v>
      </x:c>
      <x:c r="C556" s="132" t="n">
        <x:v>0</x:v>
      </x:c>
      <x:c r="D556" s="134" t="n">
        <x:v>2668</x:v>
      </x:c>
      <x:c r="E556" s="133" t="n">
        <x:v>27.5</x:v>
      </x:c>
      <x:c r="F556" s="134" t="n">
        <x:v>1390</x:v>
      </x:c>
      <x:c r="G556" s="134" t="n">
        <x:v>0</x:v>
      </x:c>
      <x:c r="H556" s="134" t="n">
        <x:v>0</x:v>
      </x:c>
      <x:c r="I556" s="134" t="n">
        <x:v>0</x:v>
      </x:c>
      <x:c r="J556" s="133" t="n">
        <x:v>0</x:v>
      </x:c>
      <x:c r="K556" s="133" t="n">
        <x:v>0</x:v>
      </x:c>
      <x:c r="L556" s="133" t="n">
        <x:v>0</x:v>
      </x:c>
      <x:c r="M556" s="133" t="n">
        <x:v>0</x:v>
      </x:c>
      <x:c r="N556" s="133" t="n">
        <x:v>0</x:v>
      </x:c>
      <x:c r="O556" s="133" t="n">
        <x:v>0</x:v>
      </x:c>
      <x:c r="P556" s="132"/>
    </x:row>
    <x:row r="557">
      <x:c r="A557" s="136" t="str">
        <x:v>01121011600</x:v>
      </x:c>
      <x:c r="B557" s="132" t="str">
        <x:v>Talladega County</x:v>
      </x:c>
      <x:c r="C557" s="132" t="n">
        <x:v>0</x:v>
      </x:c>
      <x:c r="D557" s="134" t="n">
        <x:v>4903</x:v>
      </x:c>
      <x:c r="E557" s="133" t="n">
        <x:v>26.5</x:v>
      </x:c>
      <x:c r="F557" s="134" t="n">
        <x:v>3025</x:v>
      </x:c>
      <x:c r="G557" s="134" t="n">
        <x:v>0</x:v>
      </x:c>
      <x:c r="H557" s="134" t="n">
        <x:v>0</x:v>
      </x:c>
      <x:c r="I557" s="134" t="n">
        <x:v>0</x:v>
      </x:c>
      <x:c r="J557" s="133" t="n">
        <x:v>0</x:v>
      </x:c>
      <x:c r="K557" s="133" t="n">
        <x:v>0</x:v>
      </x:c>
      <x:c r="L557" s="133" t="n">
        <x:v>0</x:v>
      </x:c>
      <x:c r="M557" s="133" t="n">
        <x:v>0</x:v>
      </x:c>
      <x:c r="N557" s="133" t="n">
        <x:v>0</x:v>
      </x:c>
      <x:c r="O557" s="133" t="n">
        <x:v>0</x:v>
      </x:c>
      <x:c r="P557" s="132"/>
    </x:row>
    <x:row r="558">
      <x:c r="A558" s="136" t="str">
        <x:v>01121011700</x:v>
      </x:c>
      <x:c r="B558" s="132" t="str">
        <x:v>Talladega County</x:v>
      </x:c>
      <x:c r="C558" s="132" t="n">
        <x:v>0</x:v>
      </x:c>
      <x:c r="D558" s="134" t="n">
        <x:v>4106</x:v>
      </x:c>
      <x:c r="E558" s="133" t="n">
        <x:v>17.9</x:v>
      </x:c>
      <x:c r="F558" s="134" t="n">
        <x:v>1598</x:v>
      </x:c>
      <x:c r="G558" s="134" t="n">
        <x:v>0</x:v>
      </x:c>
      <x:c r="H558" s="134" t="n">
        <x:v>0</x:v>
      </x:c>
      <x:c r="I558" s="134" t="n">
        <x:v>0</x:v>
      </x:c>
      <x:c r="J558" s="133" t="n">
        <x:v>0</x:v>
      </x:c>
      <x:c r="K558" s="133" t="n">
        <x:v>0</x:v>
      </x:c>
      <x:c r="L558" s="133" t="n">
        <x:v>0</x:v>
      </x:c>
      <x:c r="M558" s="133" t="n">
        <x:v>0</x:v>
      </x:c>
      <x:c r="N558" s="133" t="n">
        <x:v>0</x:v>
      </x:c>
      <x:c r="O558" s="133" t="n">
        <x:v>0</x:v>
      </x:c>
      <x:c r="P558" s="132"/>
    </x:row>
    <x:row r="559">
      <x:c r="A559" s="136" t="str">
        <x:v>01121011800</x:v>
      </x:c>
      <x:c r="B559" s="132" t="str">
        <x:v>Talladega County</x:v>
      </x:c>
      <x:c r="C559" s="132" t="n">
        <x:v>1</x:v>
      </x:c>
      <x:c r="D559" s="134" t="n">
        <x:v>2107</x:v>
      </x:c>
      <x:c r="E559" s="133" t="n">
        <x:v>24.5</x:v>
      </x:c>
      <x:c r="F559" s="134" t="n">
        <x:v>1284</x:v>
      </x:c>
      <x:c r="G559" s="134" t="n">
        <x:v>0</x:v>
      </x:c>
      <x:c r="H559" s="134" t="n">
        <x:v>0</x:v>
      </x:c>
      <x:c r="I559" s="134" t="n">
        <x:v>0</x:v>
      </x:c>
      <x:c r="J559" s="133" t="n">
        <x:v>0</x:v>
      </x:c>
      <x:c r="K559" s="133" t="n">
        <x:v>0</x:v>
      </x:c>
      <x:c r="L559" s="133" t="n">
        <x:v>0</x:v>
      </x:c>
      <x:c r="M559" s="133" t="n">
        <x:v>0</x:v>
      </x:c>
      <x:c r="N559" s="133" t="n">
        <x:v>0</x:v>
      </x:c>
      <x:c r="O559" s="133" t="n">
        <x:v>0</x:v>
      </x:c>
      <x:c r="P559" s="132"/>
    </x:row>
    <x:row r="560">
      <x:c r="A560" s="136" t="str">
        <x:v>01123962200</x:v>
      </x:c>
      <x:c r="B560" s="132" t="str">
        <x:v>Tallapoosa County</x:v>
      </x:c>
      <x:c r="C560" s="132" t="n">
        <x:v>0</x:v>
      </x:c>
      <x:c r="D560" s="134" t="n">
        <x:v>4628</x:v>
      </x:c>
      <x:c r="E560" s="133" t="n">
        <x:v>24.4</x:v>
      </x:c>
      <x:c r="F560" s="134" t="n">
        <x:v>2681</x:v>
      </x:c>
      <x:c r="G560" s="134" t="n">
        <x:v>0</x:v>
      </x:c>
      <x:c r="H560" s="134" t="n">
        <x:v>0</x:v>
      </x:c>
      <x:c r="I560" s="134" t="n">
        <x:v>0</x:v>
      </x:c>
      <x:c r="J560" s="133" t="n">
        <x:v>0</x:v>
      </x:c>
      <x:c r="K560" s="133" t="n">
        <x:v>0</x:v>
      </x:c>
      <x:c r="L560" s="133" t="n">
        <x:v>0</x:v>
      </x:c>
      <x:c r="M560" s="133" t="n">
        <x:v>0</x:v>
      </x:c>
      <x:c r="N560" s="133" t="n">
        <x:v>0</x:v>
      </x:c>
      <x:c r="O560" s="133" t="n">
        <x:v>0</x:v>
      </x:c>
      <x:c r="P560" s="132"/>
    </x:row>
    <x:row r="561">
      <x:c r="A561" s="136" t="str">
        <x:v>01123962502</x:v>
      </x:c>
      <x:c r="B561" s="132" t="str">
        <x:v>Tallapoosa County</x:v>
      </x:c>
      <x:c r="C561" s="132" t="n">
        <x:v>0</x:v>
      </x:c>
      <x:c r="D561" s="134" t="n">
        <x:v>3574</x:v>
      </x:c>
      <x:c r="E561" s="133" t="n">
        <x:v>5.9</x:v>
      </x:c>
      <x:c r="F561" s="134" t="n">
        <x:v>2819</x:v>
      </x:c>
      <x:c r="G561" s="134" t="n">
        <x:v>0</x:v>
      </x:c>
      <x:c r="H561" s="134" t="n">
        <x:v>0</x:v>
      </x:c>
      <x:c r="I561" s="134" t="n">
        <x:v>0</x:v>
      </x:c>
      <x:c r="J561" s="133" t="n">
        <x:v>0</x:v>
      </x:c>
      <x:c r="K561" s="133" t="n">
        <x:v>0</x:v>
      </x:c>
      <x:c r="L561" s="133" t="n">
        <x:v>0</x:v>
      </x:c>
      <x:c r="M561" s="133" t="n">
        <x:v>0</x:v>
      </x:c>
      <x:c r="N561" s="133" t="n">
        <x:v>0</x:v>
      </x:c>
      <x:c r="O561" s="133" t="n">
        <x:v>0</x:v>
      </x:c>
      <x:c r="P561" s="132"/>
    </x:row>
    <x:row r="562">
      <x:c r="A562" s="136" t="str">
        <x:v>01123962600</x:v>
      </x:c>
      <x:c r="B562" s="132" t="str">
        <x:v>Tallapoosa County</x:v>
      </x:c>
      <x:c r="C562" s="132" t="n">
        <x:v>0</x:v>
      </x:c>
      <x:c r="D562" s="134" t="n">
        <x:v>1661</x:v>
      </x:c>
      <x:c r="E562" s="133" t="n">
        <x:v>23.1</x:v>
      </x:c>
      <x:c r="F562" s="134" t="n">
        <x:v>945</x:v>
      </x:c>
      <x:c r="G562" s="134" t="n">
        <x:v>0</x:v>
      </x:c>
      <x:c r="H562" s="134" t="n">
        <x:v>0</x:v>
      </x:c>
      <x:c r="I562" s="134" t="n">
        <x:v>0</x:v>
      </x:c>
      <x:c r="J562" s="133" t="n">
        <x:v>0</x:v>
      </x:c>
      <x:c r="K562" s="133" t="n">
        <x:v>0</x:v>
      </x:c>
      <x:c r="L562" s="133" t="n">
        <x:v>0</x:v>
      </x:c>
      <x:c r="M562" s="133" t="n">
        <x:v>0</x:v>
      </x:c>
      <x:c r="N562" s="133" t="n">
        <x:v>0</x:v>
      </x:c>
      <x:c r="O562" s="133" t="n">
        <x:v>0</x:v>
      </x:c>
      <x:c r="P562" s="132"/>
    </x:row>
    <x:row r="563">
      <x:c r="A563" s="136" t="str">
        <x:v>01123962701</x:v>
      </x:c>
      <x:c r="B563" s="132" t="str">
        <x:v>Tallapoosa County</x:v>
      </x:c>
      <x:c r="C563" s="132" t="n">
        <x:v>0</x:v>
      </x:c>
      <x:c r="D563" s="134" t="n">
        <x:v>1950</x:v>
      </x:c>
      <x:c r="E563" s="133" t="n">
        <x:v>9.3</x:v>
      </x:c>
      <x:c r="F563" s="134" t="n">
        <x:v>1444</x:v>
      </x:c>
      <x:c r="G563" s="134" t="n">
        <x:v>0</x:v>
      </x:c>
      <x:c r="H563" s="134" t="n">
        <x:v>0</x:v>
      </x:c>
      <x:c r="I563" s="134" t="n">
        <x:v>0</x:v>
      </x:c>
      <x:c r="J563" s="133" t="n">
        <x:v>0</x:v>
      </x:c>
      <x:c r="K563" s="133" t="n">
        <x:v>0</x:v>
      </x:c>
      <x:c r="L563" s="133" t="n">
        <x:v>0</x:v>
      </x:c>
      <x:c r="M563" s="133" t="n">
        <x:v>0</x:v>
      </x:c>
      <x:c r="N563" s="133" t="n">
        <x:v>0</x:v>
      </x:c>
      <x:c r="O563" s="133" t="n">
        <x:v>0</x:v>
      </x:c>
      <x:c r="P563" s="132"/>
    </x:row>
    <x:row r="564">
      <x:c r="A564" s="136" t="str">
        <x:v>01125010203</x:v>
      </x:c>
      <x:c r="B564" s="132" t="str">
        <x:v>Tuscaloosa County</x:v>
      </x:c>
      <x:c r="C564" s="132" t="n">
        <x:v>0</x:v>
      </x:c>
      <x:c r="D564" s="134" t="n">
        <x:v>3033</x:v>
      </x:c>
      <x:c r="E564" s="133" t="n">
        <x:v>11.3</x:v>
      </x:c>
      <x:c r="F564" s="134" t="n">
        <x:v>2728</x:v>
      </x:c>
      <x:c r="G564" s="134" t="n">
        <x:v>0</x:v>
      </x:c>
      <x:c r="H564" s="134" t="n">
        <x:v>0</x:v>
      </x:c>
      <x:c r="I564" s="134" t="n">
        <x:v>0</x:v>
      </x:c>
      <x:c r="J564" s="133" t="n">
        <x:v>0</x:v>
      </x:c>
      <x:c r="K564" s="133" t="n">
        <x:v>0</x:v>
      </x:c>
      <x:c r="L564" s="133" t="n">
        <x:v>0</x:v>
      </x:c>
      <x:c r="M564" s="133" t="n">
        <x:v>0</x:v>
      </x:c>
      <x:c r="N564" s="133" t="n">
        <x:v>0</x:v>
      </x:c>
      <x:c r="O564" s="133" t="n">
        <x:v>0</x:v>
      </x:c>
      <x:c r="P564" s="132"/>
    </x:row>
    <x:row r="565">
      <x:c r="A565" s="136" t="str">
        <x:v>01125010204</x:v>
      </x:c>
      <x:c r="B565" s="132" t="str">
        <x:v>Tuscaloosa County</x:v>
      </x:c>
      <x:c r="C565" s="132" t="n">
        <x:v>0</x:v>
      </x:c>
      <x:c r="D565" s="134" t="n">
        <x:v>5136</x:v>
      </x:c>
      <x:c r="E565" s="133" t="n">
        <x:v>9.8</x:v>
      </x:c>
      <x:c r="F565" s="134" t="n">
        <x:v>3827</x:v>
      </x:c>
      <x:c r="G565" s="134" t="n">
        <x:v>0</x:v>
      </x:c>
      <x:c r="H565" s="134" t="n">
        <x:v>0</x:v>
      </x:c>
      <x:c r="I565" s="134" t="n">
        <x:v>0</x:v>
      </x:c>
      <x:c r="J565" s="133" t="n">
        <x:v>0</x:v>
      </x:c>
      <x:c r="K565" s="133" t="n">
        <x:v>0</x:v>
      </x:c>
      <x:c r="L565" s="133" t="n">
        <x:v>0</x:v>
      </x:c>
      <x:c r="M565" s="133" t="n">
        <x:v>0</x:v>
      </x:c>
      <x:c r="N565" s="133" t="n">
        <x:v>0</x:v>
      </x:c>
      <x:c r="O565" s="133" t="n">
        <x:v>0</x:v>
      </x:c>
      <x:c r="P565" s="132"/>
    </x:row>
    <x:row r="566">
      <x:c r="A566" s="136" t="str">
        <x:v>01125010305</x:v>
      </x:c>
      <x:c r="B566" s="132" t="str">
        <x:v>Tuscaloosa County</x:v>
      </x:c>
      <x:c r="C566" s="132" t="n">
        <x:v>0</x:v>
      </x:c>
      <x:c r="D566" s="134" t="n">
        <x:v>4079</x:v>
      </x:c>
      <x:c r="E566" s="133" t="n">
        <x:v>4.1</x:v>
      </x:c>
      <x:c r="F566" s="134" t="n">
        <x:v>2382</x:v>
      </x:c>
      <x:c r="G566" s="134" t="n">
        <x:v>0</x:v>
      </x:c>
      <x:c r="H566" s="134" t="n">
        <x:v>0</x:v>
      </x:c>
      <x:c r="I566" s="134" t="n">
        <x:v>0</x:v>
      </x:c>
      <x:c r="J566" s="133" t="n">
        <x:v>0</x:v>
      </x:c>
      <x:c r="K566" s="133" t="n">
        <x:v>0</x:v>
      </x:c>
      <x:c r="L566" s="133" t="n">
        <x:v>0</x:v>
      </x:c>
      <x:c r="M566" s="133" t="n">
        <x:v>0</x:v>
      </x:c>
      <x:c r="N566" s="133"/>
      <x:c r="O566" s="133" t="n">
        <x:v>0</x:v>
      </x:c>
      <x:c r="P566" s="132"/>
    </x:row>
    <x:row r="567">
      <x:c r="A567" s="136" t="str">
        <x:v>01125010603</x:v>
      </x:c>
      <x:c r="B567" s="132" t="str">
        <x:v>Tuscaloosa County</x:v>
      </x:c>
      <x:c r="C567" s="132" t="n">
        <x:v>0</x:v>
      </x:c>
      <x:c r="D567" s="134" t="n">
        <x:v>6089</x:v>
      </x:c>
      <x:c r="E567" s="133" t="n">
        <x:v>9.1</x:v>
      </x:c>
      <x:c r="F567" s="134" t="n">
        <x:v>4845</x:v>
      </x:c>
      <x:c r="G567" s="134" t="n">
        <x:v>0</x:v>
      </x:c>
      <x:c r="H567" s="134" t="n">
        <x:v>0</x:v>
      </x:c>
      <x:c r="I567" s="134" t="n">
        <x:v>0</x:v>
      </x:c>
      <x:c r="J567" s="133" t="n">
        <x:v>0</x:v>
      </x:c>
      <x:c r="K567" s="133" t="n">
        <x:v>0</x:v>
      </x:c>
      <x:c r="L567" s="133" t="n">
        <x:v>0</x:v>
      </x:c>
      <x:c r="M567" s="133" t="n">
        <x:v>0</x:v>
      </x:c>
      <x:c r="N567" s="133" t="n">
        <x:v>0</x:v>
      </x:c>
      <x:c r="O567" s="133" t="n">
        <x:v>0</x:v>
      </x:c>
      <x:c r="P567" s="132"/>
    </x:row>
    <x:row r="568">
      <x:c r="A568" s="136" t="str">
        <x:v>01125010703</x:v>
      </x:c>
      <x:c r="B568" s="132" t="str">
        <x:v>Tuscaloosa County</x:v>
      </x:c>
      <x:c r="C568" s="132" t="n">
        <x:v>0</x:v>
      </x:c>
      <x:c r="D568" s="134" t="n">
        <x:v>3602</x:v>
      </x:c>
      <x:c r="E568" s="133" t="n">
        <x:v>7.3</x:v>
      </x:c>
      <x:c r="F568" s="134" t="n">
        <x:v>2785</x:v>
      </x:c>
      <x:c r="G568" s="134" t="n">
        <x:v>0</x:v>
      </x:c>
      <x:c r="H568" s="134" t="n">
        <x:v>0</x:v>
      </x:c>
      <x:c r="I568" s="134" t="n">
        <x:v>0</x:v>
      </x:c>
      <x:c r="J568" s="133" t="n">
        <x:v>0</x:v>
      </x:c>
      <x:c r="K568" s="133" t="n">
        <x:v>0</x:v>
      </x:c>
      <x:c r="L568" s="133" t="n">
        <x:v>0</x:v>
      </x:c>
      <x:c r="M568" s="133" t="n">
        <x:v>0</x:v>
      </x:c>
      <x:c r="N568" s="133" t="n">
        <x:v>0</x:v>
      </x:c>
      <x:c r="O568" s="133" t="n">
        <x:v>0</x:v>
      </x:c>
      <x:c r="P568" s="132"/>
    </x:row>
    <x:row r="569">
      <x:c r="A569" s="136" t="str">
        <x:v>01125010706</x:v>
      </x:c>
      <x:c r="B569" s="132" t="str">
        <x:v>Tuscaloosa County</x:v>
      </x:c>
      <x:c r="C569" s="132" t="n">
        <x:v>0</x:v>
      </x:c>
      <x:c r="D569" s="134" t="n">
        <x:v>4326</x:v>
      </x:c>
      <x:c r="E569" s="133" t="n">
        <x:v>3.9</x:v>
      </x:c>
      <x:c r="F569" s="134" t="n">
        <x:v>2855</x:v>
      </x:c>
      <x:c r="G569" s="134" t="n">
        <x:v>0</x:v>
      </x:c>
      <x:c r="H569" s="134" t="n">
        <x:v>0</x:v>
      </x:c>
      <x:c r="I569" s="134" t="n">
        <x:v>0</x:v>
      </x:c>
      <x:c r="J569" s="133" t="n">
        <x:v>0</x:v>
      </x:c>
      <x:c r="K569" s="133" t="n">
        <x:v>0</x:v>
      </x:c>
      <x:c r="L569" s="133" t="n">
        <x:v>0</x:v>
      </x:c>
      <x:c r="M569" s="133" t="n">
        <x:v>0</x:v>
      </x:c>
      <x:c r="N569" s="133" t="n">
        <x:v>0</x:v>
      </x:c>
      <x:c r="O569" s="133" t="n">
        <x:v>0</x:v>
      </x:c>
      <x:c r="P569" s="132"/>
    </x:row>
    <x:row r="570">
      <x:c r="A570" s="136" t="str">
        <x:v>01125011200</x:v>
      </x:c>
      <x:c r="B570" s="132" t="str">
        <x:v>Tuscaloosa County</x:v>
      </x:c>
      <x:c r="C570" s="132" t="n">
        <x:v>1</x:v>
      </x:c>
      <x:c r="D570" s="134" t="n">
        <x:v>9076</x:v>
      </x:c>
      <x:c r="E570" s="133" t="n">
        <x:v>57.7</x:v>
      </x:c>
      <x:c r="F570" s="134" t="n">
        <x:v>312</x:v>
      </x:c>
      <x:c r="G570" s="134" t="n">
        <x:v>0</x:v>
      </x:c>
      <x:c r="H570" s="134" t="n">
        <x:v>0</x:v>
      </x:c>
      <x:c r="I570" s="134" t="n">
        <x:v>0</x:v>
      </x:c>
      <x:c r="J570" s="133" t="n">
        <x:v>0</x:v>
      </x:c>
      <x:c r="K570" s="133" t="n">
        <x:v>0</x:v>
      </x:c>
      <x:c r="L570" s="133" t="n">
        <x:v>0</x:v>
      </x:c>
      <x:c r="M570" s="133" t="n">
        <x:v>0</x:v>
      </x:c>
      <x:c r="N570" s="133" t="n">
        <x:v>0</x:v>
      </x:c>
      <x:c r="O570" s="133" t="n">
        <x:v>0</x:v>
      </x:c>
      <x:c r="P570" s="132"/>
    </x:row>
    <x:row r="571">
      <x:c r="A571" s="136" t="str">
        <x:v>01125011401</x:v>
      </x:c>
      <x:c r="B571" s="132" t="str">
        <x:v>Tuscaloosa County</x:v>
      </x:c>
      <x:c r="C571" s="132" t="n">
        <x:v>1</x:v>
      </x:c>
      <x:c r="D571" s="134" t="n">
        <x:v>3773</x:v>
      </x:c>
      <x:c r="E571" s="133" t="n">
        <x:v>69.2</x:v>
      </x:c>
      <x:c r="F571" s="134" t="n">
        <x:v>467</x:v>
      </x:c>
      <x:c r="G571" s="134" t="n">
        <x:v>0</x:v>
      </x:c>
      <x:c r="H571" s="134" t="n">
        <x:v>0</x:v>
      </x:c>
      <x:c r="I571" s="134" t="n">
        <x:v>0</x:v>
      </x:c>
      <x:c r="J571" s="133" t="n">
        <x:v>0</x:v>
      </x:c>
      <x:c r="K571" s="133" t="n">
        <x:v>0</x:v>
      </x:c>
      <x:c r="L571" s="133" t="n">
        <x:v>0</x:v>
      </x:c>
      <x:c r="M571" s="133" t="n">
        <x:v>0</x:v>
      </x:c>
      <x:c r="N571" s="133" t="n">
        <x:v>0</x:v>
      </x:c>
      <x:c r="O571" s="133" t="n">
        <x:v>0</x:v>
      </x:c>
      <x:c r="P571" s="132"/>
    </x:row>
    <x:row r="572">
      <x:c r="A572" s="136" t="str">
        <x:v>01125011402</x:v>
      </x:c>
      <x:c r="B572" s="132" t="str">
        <x:v>Tuscaloosa County</x:v>
      </x:c>
      <x:c r="C572" s="132" t="n">
        <x:v>1</x:v>
      </x:c>
      <x:c r="D572" s="134" t="n">
        <x:v>3200</x:v>
      </x:c>
      <x:c r="E572" s="133" t="n">
        <x:v>67</x:v>
      </x:c>
      <x:c r="F572" s="134" t="n">
        <x:v>641</x:v>
      </x:c>
      <x:c r="G572" s="134" t="n">
        <x:v>0</x:v>
      </x:c>
      <x:c r="H572" s="134" t="n">
        <x:v>0</x:v>
      </x:c>
      <x:c r="I572" s="134" t="n">
        <x:v>0</x:v>
      </x:c>
      <x:c r="J572" s="133" t="n">
        <x:v>0</x:v>
      </x:c>
      <x:c r="K572" s="133" t="n">
        <x:v>0</x:v>
      </x:c>
      <x:c r="L572" s="133" t="n">
        <x:v>0</x:v>
      </x:c>
      <x:c r="M572" s="133" t="n">
        <x:v>0</x:v>
      </x:c>
      <x:c r="N572" s="133" t="n">
        <x:v>0</x:v>
      </x:c>
      <x:c r="O572" s="133" t="n">
        <x:v>0</x:v>
      </x:c>
      <x:c r="P572" s="132"/>
    </x:row>
    <x:row r="573">
      <x:c r="A573" s="136" t="str">
        <x:v>01125011701</x:v>
      </x:c>
      <x:c r="B573" s="132" t="str">
        <x:v>Tuscaloosa County</x:v>
      </x:c>
      <x:c r="C573" s="132" t="n">
        <x:v>1</x:v>
      </x:c>
      <x:c r="D573" s="134" t="n">
        <x:v>2597</x:v>
      </x:c>
      <x:c r="E573" s="133" t="n">
        <x:v>30.5</x:v>
      </x:c>
      <x:c r="F573" s="134" t="n">
        <x:v>1105</x:v>
      </x:c>
      <x:c r="G573" s="134" t="n">
        <x:v>0</x:v>
      </x:c>
      <x:c r="H573" s="134" t="n">
        <x:v>0</x:v>
      </x:c>
      <x:c r="I573" s="134" t="n">
        <x:v>0</x:v>
      </x:c>
      <x:c r="J573" s="133" t="n">
        <x:v>0</x:v>
      </x:c>
      <x:c r="K573" s="133" t="n">
        <x:v>0</x:v>
      </x:c>
      <x:c r="L573" s="133" t="n">
        <x:v>0</x:v>
      </x:c>
      <x:c r="M573" s="133" t="n">
        <x:v>0</x:v>
      </x:c>
      <x:c r="N573" s="133" t="n">
        <x:v>0</x:v>
      </x:c>
      <x:c r="O573" s="133" t="n">
        <x:v>0</x:v>
      </x:c>
      <x:c r="P573" s="132"/>
    </x:row>
    <x:row r="574">
      <x:c r="A574" s="136" t="str">
        <x:v>01125011902</x:v>
      </x:c>
      <x:c r="B574" s="132" t="str">
        <x:v>Tuscaloosa County</x:v>
      </x:c>
      <x:c r="C574" s="132" t="n">
        <x:v>1</x:v>
      </x:c>
      <x:c r="D574" s="134" t="n">
        <x:v>2953</x:v>
      </x:c>
      <x:c r="E574" s="133" t="n">
        <x:v>55.6</x:v>
      </x:c>
      <x:c r="F574" s="134" t="n">
        <x:v>639</x:v>
      </x:c>
      <x:c r="G574" s="134" t="n">
        <x:v>0</x:v>
      </x:c>
      <x:c r="H574" s="134" t="n">
        <x:v>0</x:v>
      </x:c>
      <x:c r="I574" s="134" t="n">
        <x:v>0</x:v>
      </x:c>
      <x:c r="J574" s="133" t="n">
        <x:v>0</x:v>
      </x:c>
      <x:c r="K574" s="133" t="n">
        <x:v>0</x:v>
      </x:c>
      <x:c r="L574" s="133" t="n">
        <x:v>0</x:v>
      </x:c>
      <x:c r="M574" s="133" t="n">
        <x:v>0</x:v>
      </x:c>
      <x:c r="N574" s="133" t="n">
        <x:v>0</x:v>
      </x:c>
      <x:c r="O574" s="133" t="n">
        <x:v>0</x:v>
      </x:c>
      <x:c r="P574" s="132"/>
    </x:row>
    <x:row r="575">
      <x:c r="A575" s="136" t="str">
        <x:v>01125012001</x:v>
      </x:c>
      <x:c r="B575" s="132" t="str">
        <x:v>Tuscaloosa County</x:v>
      </x:c>
      <x:c r="C575" s="132" t="n">
        <x:v>1</x:v>
      </x:c>
      <x:c r="D575" s="134" t="n">
        <x:v>1712</x:v>
      </x:c>
      <x:c r="E575" s="133" t="n">
        <x:v>29.7</x:v>
      </x:c>
      <x:c r="F575" s="134" t="n">
        <x:v>681</x:v>
      </x:c>
      <x:c r="G575" s="134" t="n">
        <x:v>0</x:v>
      </x:c>
      <x:c r="H575" s="134" t="n">
        <x:v>0</x:v>
      </x:c>
      <x:c r="I575" s="134" t="n">
        <x:v>0</x:v>
      </x:c>
      <x:c r="J575" s="133" t="n">
        <x:v>0</x:v>
      </x:c>
      <x:c r="K575" s="133" t="n">
        <x:v>0</x:v>
      </x:c>
      <x:c r="L575" s="133" t="n">
        <x:v>0</x:v>
      </x:c>
      <x:c r="M575" s="133" t="n">
        <x:v>0</x:v>
      </x:c>
      <x:c r="N575" s="133" t="n">
        <x:v>0</x:v>
      </x:c>
      <x:c r="O575" s="133" t="n">
        <x:v>0</x:v>
      </x:c>
      <x:c r="P575" s="132"/>
    </x:row>
    <x:row r="576">
      <x:c r="A576" s="136" t="str">
        <x:v>01125012002</x:v>
      </x:c>
      <x:c r="B576" s="132" t="str">
        <x:v>Tuscaloosa County</x:v>
      </x:c>
      <x:c r="C576" s="132" t="n">
        <x:v>1</x:v>
      </x:c>
      <x:c r="D576" s="134" t="n">
        <x:v>2736</x:v>
      </x:c>
      <x:c r="E576" s="133" t="n">
        <x:v>57.7</x:v>
      </x:c>
      <x:c r="F576" s="134" t="n">
        <x:v>371</x:v>
      </x:c>
      <x:c r="G576" s="134" t="n">
        <x:v>0</x:v>
      </x:c>
      <x:c r="H576" s="134" t="n">
        <x:v>0</x:v>
      </x:c>
      <x:c r="I576" s="134" t="n">
        <x:v>0</x:v>
      </x:c>
      <x:c r="J576" s="133" t="n">
        <x:v>0</x:v>
      </x:c>
      <x:c r="K576" s="133" t="n">
        <x:v>0</x:v>
      </x:c>
      <x:c r="L576" s="133" t="n">
        <x:v>0</x:v>
      </x:c>
      <x:c r="M576" s="133" t="n">
        <x:v>0</x:v>
      </x:c>
      <x:c r="N576" s="133" t="n">
        <x:v>0</x:v>
      </x:c>
      <x:c r="O576" s="133" t="n">
        <x:v>0</x:v>
      </x:c>
      <x:c r="P576" s="132"/>
    </x:row>
    <x:row r="577">
      <x:c r="A577" s="136" t="str">
        <x:v>01125012407</x:v>
      </x:c>
      <x:c r="B577" s="132" t="str">
        <x:v>Tuscaloosa County</x:v>
      </x:c>
      <x:c r="C577" s="132" t="n">
        <x:v>1</x:v>
      </x:c>
      <x:c r="D577" s="134" t="n">
        <x:v>1306</x:v>
      </x:c>
      <x:c r="E577" s="133" t="n">
        <x:v>23.8</x:v>
      </x:c>
      <x:c r="F577" s="134" t="n">
        <x:v>382</x:v>
      </x:c>
      <x:c r="G577" s="134" t="n">
        <x:v>0</x:v>
      </x:c>
      <x:c r="H577" s="134" t="n">
        <x:v>1</x:v>
      </x:c>
      <x:c r="I577" s="134" t="n">
        <x:v>0</x:v>
      </x:c>
      <x:c r="J577" s="133" t="n">
        <x:v>0.07656967840735068</x:v>
      </x:c>
      <x:c r="K577" s="133" t="n">
        <x:v>0</x:v>
      </x:c>
      <x:c r="L577" s="133" t="n">
        <x:v>0</x:v>
      </x:c>
      <x:c r="M577" s="133" t="n">
        <x:v>0</x:v>
      </x:c>
      <x:c r="N577" s="133" t="n">
        <x:v>0</x:v>
      </x:c>
      <x:c r="O577" s="133" t="n">
        <x:v>0</x:v>
      </x:c>
      <x:c r="P577" s="132"/>
    </x:row>
    <x:row r="578">
      <x:c r="A578" s="136" t="str">
        <x:v>01125012501</x:v>
      </x:c>
      <x:c r="B578" s="132" t="str">
        <x:v>Tuscaloosa County</x:v>
      </x:c>
      <x:c r="C578" s="132" t="n">
        <x:v>0</x:v>
      </x:c>
      <x:c r="D578" s="134" t="n">
        <x:v>1535</x:v>
      </x:c>
      <x:c r="E578" s="133" t="n">
        <x:v>15</x:v>
      </x:c>
      <x:c r="F578" s="134" t="n">
        <x:v>847</x:v>
      </x:c>
      <x:c r="G578" s="134" t="n">
        <x:v>0</x:v>
      </x:c>
      <x:c r="H578" s="134" t="n">
        <x:v>0</x:v>
      </x:c>
      <x:c r="I578" s="134" t="n">
        <x:v>0</x:v>
      </x:c>
      <x:c r="J578" s="133" t="n">
        <x:v>0</x:v>
      </x:c>
      <x:c r="K578" s="133" t="n">
        <x:v>0</x:v>
      </x:c>
      <x:c r="L578" s="133" t="n">
        <x:v>0</x:v>
      </x:c>
      <x:c r="M578" s="133" t="n">
        <x:v>0</x:v>
      </x:c>
      <x:c r="N578" s="133" t="n">
        <x:v>0</x:v>
      </x:c>
      <x:c r="O578" s="133" t="n">
        <x:v>0</x:v>
      </x:c>
      <x:c r="P578" s="132"/>
    </x:row>
    <x:row r="579">
      <x:c r="A579" s="136" t="str">
        <x:v>01127020100</x:v>
      </x:c>
      <x:c r="B579" s="132" t="str">
        <x:v>Walker County</x:v>
      </x:c>
      <x:c r="C579" s="132" t="n">
        <x:v>0</x:v>
      </x:c>
      <x:c r="D579" s="134" t="n">
        <x:v>3624</x:v>
      </x:c>
      <x:c r="E579" s="133" t="n">
        <x:v>28.3</x:v>
      </x:c>
      <x:c r="F579" s="134" t="n">
        <x:v>1567</x:v>
      </x:c>
      <x:c r="G579" s="134" t="n">
        <x:v>0</x:v>
      </x:c>
      <x:c r="H579" s="134" t="n">
        <x:v>0</x:v>
      </x:c>
      <x:c r="I579" s="134" t="n">
        <x:v>0</x:v>
      </x:c>
      <x:c r="J579" s="133" t="n">
        <x:v>0</x:v>
      </x:c>
      <x:c r="K579" s="133" t="n">
        <x:v>0</x:v>
      </x:c>
      <x:c r="L579" s="133" t="n">
        <x:v>0</x:v>
      </x:c>
      <x:c r="M579" s="133" t="n">
        <x:v>0</x:v>
      </x:c>
      <x:c r="N579" s="133" t="n">
        <x:v>0</x:v>
      </x:c>
      <x:c r="O579" s="133" t="n">
        <x:v>0</x:v>
      </x:c>
      <x:c r="P579" s="132"/>
    </x:row>
    <x:row r="580">
      <x:c r="A580" s="136" t="str">
        <x:v>01127020200</x:v>
      </x:c>
      <x:c r="B580" s="132" t="str">
        <x:v>Walker County</x:v>
      </x:c>
      <x:c r="C580" s="132" t="n">
        <x:v>0</x:v>
      </x:c>
      <x:c r="D580" s="134" t="n">
        <x:v>4372</x:v>
      </x:c>
      <x:c r="E580" s="133" t="n">
        <x:v>7.2</x:v>
      </x:c>
      <x:c r="F580" s="134" t="n">
        <x:v>2582</x:v>
      </x:c>
      <x:c r="G580" s="134" t="n">
        <x:v>0</x:v>
      </x:c>
      <x:c r="H580" s="134" t="n">
        <x:v>0</x:v>
      </x:c>
      <x:c r="I580" s="134" t="n">
        <x:v>0</x:v>
      </x:c>
      <x:c r="J580" s="133" t="n">
        <x:v>0</x:v>
      </x:c>
      <x:c r="K580" s="133" t="n">
        <x:v>0</x:v>
      </x:c>
      <x:c r="L580" s="133" t="n">
        <x:v>0</x:v>
      </x:c>
      <x:c r="M580" s="133" t="n">
        <x:v>0</x:v>
      </x:c>
      <x:c r="N580" s="133" t="n">
        <x:v>0</x:v>
      </x:c>
      <x:c r="O580" s="133" t="n">
        <x:v>0</x:v>
      </x:c>
      <x:c r="P580" s="132"/>
    </x:row>
    <x:row r="581">
      <x:c r="A581" s="136" t="str">
        <x:v>01127020400</x:v>
      </x:c>
      <x:c r="B581" s="132" t="str">
        <x:v>Walker County</x:v>
      </x:c>
      <x:c r="C581" s="132" t="n">
        <x:v>0</x:v>
      </x:c>
      <x:c r="D581" s="134" t="n">
        <x:v>2231</x:v>
      </x:c>
      <x:c r="E581" s="133" t="n">
        <x:v>16</x:v>
      </x:c>
      <x:c r="F581" s="134" t="n">
        <x:v>1323</x:v>
      </x:c>
      <x:c r="G581" s="134" t="n">
        <x:v>0</x:v>
      </x:c>
      <x:c r="H581" s="134" t="n">
        <x:v>0</x:v>
      </x:c>
      <x:c r="I581" s="134" t="n">
        <x:v>0</x:v>
      </x:c>
      <x:c r="J581" s="133" t="n">
        <x:v>0</x:v>
      </x:c>
      <x:c r="K581" s="133" t="n">
        <x:v>0</x:v>
      </x:c>
      <x:c r="L581" s="133" t="n">
        <x:v>0</x:v>
      </x:c>
      <x:c r="M581" s="133" t="n">
        <x:v>0</x:v>
      </x:c>
      <x:c r="N581" s="133" t="n">
        <x:v>0</x:v>
      </x:c>
      <x:c r="O581" s="133" t="n">
        <x:v>0</x:v>
      </x:c>
      <x:c r="P581" s="132"/>
    </x:row>
    <x:row r="582">
      <x:c r="A582" s="136" t="str">
        <x:v>01127020600</x:v>
      </x:c>
      <x:c r="B582" s="132" t="str">
        <x:v>Walker County</x:v>
      </x:c>
      <x:c r="C582" s="132" t="n">
        <x:v>0</x:v>
      </x:c>
      <x:c r="D582" s="134" t="n">
        <x:v>2460</x:v>
      </x:c>
      <x:c r="E582" s="133" t="n">
        <x:v>28.4</x:v>
      </x:c>
      <x:c r="F582" s="134" t="n">
        <x:v>1282</x:v>
      </x:c>
      <x:c r="G582" s="134" t="n">
        <x:v>0</x:v>
      </x:c>
      <x:c r="H582" s="134" t="n">
        <x:v>0</x:v>
      </x:c>
      <x:c r="I582" s="134" t="n">
        <x:v>0</x:v>
      </x:c>
      <x:c r="J582" s="133" t="n">
        <x:v>0</x:v>
      </x:c>
      <x:c r="K582" s="133" t="n">
        <x:v>0</x:v>
      </x:c>
      <x:c r="L582" s="133" t="n">
        <x:v>0</x:v>
      </x:c>
      <x:c r="M582" s="133" t="n">
        <x:v>0</x:v>
      </x:c>
      <x:c r="N582" s="133"/>
      <x:c r="O582" s="133" t="n">
        <x:v>0</x:v>
      </x:c>
      <x:c r="P582" s="132"/>
    </x:row>
    <x:row r="583">
      <x:c r="A583" s="136" t="str">
        <x:v>01127020700</x:v>
      </x:c>
      <x:c r="B583" s="132" t="str">
        <x:v>Walker County</x:v>
      </x:c>
      <x:c r="C583" s="132" t="n">
        <x:v>0</x:v>
      </x:c>
      <x:c r="D583" s="134" t="n">
        <x:v>3139</x:v>
      </x:c>
      <x:c r="E583" s="133" t="n">
        <x:v>24.6</x:v>
      </x:c>
      <x:c r="F583" s="134" t="n">
        <x:v>2510</x:v>
      </x:c>
      <x:c r="G583" s="134" t="n">
        <x:v>0</x:v>
      </x:c>
      <x:c r="H583" s="134" t="n">
        <x:v>0</x:v>
      </x:c>
      <x:c r="I583" s="134" t="n">
        <x:v>0</x:v>
      </x:c>
      <x:c r="J583" s="133" t="n">
        <x:v>0</x:v>
      </x:c>
      <x:c r="K583" s="133" t="n">
        <x:v>0</x:v>
      </x:c>
      <x:c r="L583" s="133" t="n">
        <x:v>0</x:v>
      </x:c>
      <x:c r="M583" s="133" t="n">
        <x:v>0</x:v>
      </x:c>
      <x:c r="N583" s="133" t="n">
        <x:v>0</x:v>
      </x:c>
      <x:c r="O583" s="133" t="n">
        <x:v>0</x:v>
      </x:c>
      <x:c r="P583" s="132"/>
    </x:row>
    <x:row r="584">
      <x:c r="A584" s="136" t="str">
        <x:v>01127020801</x:v>
      </x:c>
      <x:c r="B584" s="132" t="str">
        <x:v>Walker County</x:v>
      </x:c>
      <x:c r="C584" s="132" t="n">
        <x:v>0</x:v>
      </x:c>
      <x:c r="D584" s="134" t="n">
        <x:v>2478</x:v>
      </x:c>
      <x:c r="E584" s="133" t="n">
        <x:v>16.3</x:v>
      </x:c>
      <x:c r="F584" s="134" t="n">
        <x:v>1357</x:v>
      </x:c>
      <x:c r="G584" s="134" t="n">
        <x:v>0</x:v>
      </x:c>
      <x:c r="H584" s="134" t="n">
        <x:v>0</x:v>
      </x:c>
      <x:c r="I584" s="134" t="n">
        <x:v>0</x:v>
      </x:c>
      <x:c r="J584" s="133" t="n">
        <x:v>0</x:v>
      </x:c>
      <x:c r="K584" s="133" t="n">
        <x:v>0</x:v>
      </x:c>
      <x:c r="L584" s="133" t="n">
        <x:v>0</x:v>
      </x:c>
      <x:c r="M584" s="133" t="n">
        <x:v>0</x:v>
      </x:c>
      <x:c r="N584" s="133" t="n">
        <x:v>0</x:v>
      </x:c>
      <x:c r="O584" s="133" t="n">
        <x:v>0</x:v>
      </x:c>
      <x:c r="P584" s="132"/>
    </x:row>
    <x:row r="585">
      <x:c r="A585" s="136" t="str">
        <x:v>01127020802</x:v>
      </x:c>
      <x:c r="B585" s="132" t="str">
        <x:v>Walker County</x:v>
      </x:c>
      <x:c r="C585" s="132" t="n">
        <x:v>0</x:v>
      </x:c>
      <x:c r="D585" s="134" t="n">
        <x:v>3178</x:v>
      </x:c>
      <x:c r="E585" s="133" t="n">
        <x:v>19.3</x:v>
      </x:c>
      <x:c r="F585" s="134" t="n">
        <x:v>1879</x:v>
      </x:c>
      <x:c r="G585" s="134" t="n">
        <x:v>0</x:v>
      </x:c>
      <x:c r="H585" s="134" t="n">
        <x:v>0</x:v>
      </x:c>
      <x:c r="I585" s="134" t="n">
        <x:v>0</x:v>
      </x:c>
      <x:c r="J585" s="133" t="n">
        <x:v>0</x:v>
      </x:c>
      <x:c r="K585" s="133" t="n">
        <x:v>0</x:v>
      </x:c>
      <x:c r="L585" s="133" t="n">
        <x:v>0</x:v>
      </x:c>
      <x:c r="M585" s="133" t="n">
        <x:v>0</x:v>
      </x:c>
      <x:c r="N585" s="133"/>
      <x:c r="O585" s="133" t="n">
        <x:v>0</x:v>
      </x:c>
      <x:c r="P585" s="132"/>
    </x:row>
    <x:row r="586">
      <x:c r="A586" s="136" t="str">
        <x:v>01127020900</x:v>
      </x:c>
      <x:c r="B586" s="132" t="str">
        <x:v>Walker County</x:v>
      </x:c>
      <x:c r="C586" s="132" t="n">
        <x:v>0</x:v>
      </x:c>
      <x:c r="D586" s="134" t="n">
        <x:v>4989</x:v>
      </x:c>
      <x:c r="E586" s="133" t="n">
        <x:v>12.4</x:v>
      </x:c>
      <x:c r="F586" s="134" t="n">
        <x:v>3323</x:v>
      </x:c>
      <x:c r="G586" s="134" t="n">
        <x:v>0</x:v>
      </x:c>
      <x:c r="H586" s="134" t="n">
        <x:v>0</x:v>
      </x:c>
      <x:c r="I586" s="134" t="n">
        <x:v>0</x:v>
      </x:c>
      <x:c r="J586" s="133" t="n">
        <x:v>0</x:v>
      </x:c>
      <x:c r="K586" s="133" t="n">
        <x:v>0</x:v>
      </x:c>
      <x:c r="L586" s="133" t="n">
        <x:v>0</x:v>
      </x:c>
      <x:c r="M586" s="133" t="n">
        <x:v>0</x:v>
      </x:c>
      <x:c r="N586" s="133" t="n">
        <x:v>0</x:v>
      </x:c>
      <x:c r="O586" s="133" t="n">
        <x:v>0</x:v>
      </x:c>
      <x:c r="P586" s="132"/>
    </x:row>
    <x:row r="587">
      <x:c r="A587" s="136" t="str">
        <x:v>01127021000</x:v>
      </x:c>
      <x:c r="B587" s="132" t="str">
        <x:v>Walker County</x:v>
      </x:c>
      <x:c r="C587" s="132" t="n">
        <x:v>0</x:v>
      </x:c>
      <x:c r="D587" s="134" t="n">
        <x:v>3447</x:v>
      </x:c>
      <x:c r="E587" s="133" t="n">
        <x:v>11.7</x:v>
      </x:c>
      <x:c r="F587" s="134" t="n">
        <x:v>2307</x:v>
      </x:c>
      <x:c r="G587" s="134" t="n">
        <x:v>0</x:v>
      </x:c>
      <x:c r="H587" s="134" t="n">
        <x:v>0</x:v>
      </x:c>
      <x:c r="I587" s="134" t="n">
        <x:v>0</x:v>
      </x:c>
      <x:c r="J587" s="133" t="n">
        <x:v>0</x:v>
      </x:c>
      <x:c r="K587" s="133" t="n">
        <x:v>0</x:v>
      </x:c>
      <x:c r="L587" s="133" t="n">
        <x:v>0</x:v>
      </x:c>
      <x:c r="M587" s="133" t="n">
        <x:v>0</x:v>
      </x:c>
      <x:c r="N587" s="133" t="n">
        <x:v>0</x:v>
      </x:c>
      <x:c r="O587" s="133" t="n">
        <x:v>0</x:v>
      </x:c>
      <x:c r="P587" s="132"/>
    </x:row>
    <x:row r="588">
      <x:c r="A588" s="136" t="str">
        <x:v>01127021100</x:v>
      </x:c>
      <x:c r="B588" s="132" t="str">
        <x:v>Walker County</x:v>
      </x:c>
      <x:c r="C588" s="132" t="n">
        <x:v>0</x:v>
      </x:c>
      <x:c r="D588" s="134" t="n">
        <x:v>3186</x:v>
      </x:c>
      <x:c r="E588" s="133" t="n">
        <x:v>24.5</x:v>
      </x:c>
      <x:c r="F588" s="134" t="n">
        <x:v>1808</x:v>
      </x:c>
      <x:c r="G588" s="134" t="n">
        <x:v>0</x:v>
      </x:c>
      <x:c r="H588" s="134" t="n">
        <x:v>0</x:v>
      </x:c>
      <x:c r="I588" s="134" t="n">
        <x:v>0</x:v>
      </x:c>
      <x:c r="J588" s="133" t="n">
        <x:v>0</x:v>
      </x:c>
      <x:c r="K588" s="133" t="n">
        <x:v>0</x:v>
      </x:c>
      <x:c r="L588" s="133" t="n">
        <x:v>0</x:v>
      </x:c>
      <x:c r="M588" s="133" t="n">
        <x:v>0</x:v>
      </x:c>
      <x:c r="N588" s="133" t="n">
        <x:v>0</x:v>
      </x:c>
      <x:c r="O588" s="133" t="n">
        <x:v>0</x:v>
      </x:c>
      <x:c r="P588" s="132"/>
    </x:row>
    <x:row r="589">
      <x:c r="A589" s="136" t="str">
        <x:v>01127021400</x:v>
      </x:c>
      <x:c r="B589" s="132" t="str">
        <x:v>Walker County</x:v>
      </x:c>
      <x:c r="C589" s="132" t="n">
        <x:v>0</x:v>
      </x:c>
      <x:c r="D589" s="134" t="n">
        <x:v>3599</x:v>
      </x:c>
      <x:c r="E589" s="133" t="n">
        <x:v>21.7</x:v>
      </x:c>
      <x:c r="F589" s="134" t="n">
        <x:v>1842</x:v>
      </x:c>
      <x:c r="G589" s="134" t="n">
        <x:v>0</x:v>
      </x:c>
      <x:c r="H589" s="134" t="n">
        <x:v>0</x:v>
      </x:c>
      <x:c r="I589" s="134" t="n">
        <x:v>0</x:v>
      </x:c>
      <x:c r="J589" s="133" t="n">
        <x:v>0</x:v>
      </x:c>
      <x:c r="K589" s="133" t="n">
        <x:v>0</x:v>
      </x:c>
      <x:c r="L589" s="133" t="n">
        <x:v>0</x:v>
      </x:c>
      <x:c r="M589" s="133" t="n">
        <x:v>0</x:v>
      </x:c>
      <x:c r="N589" s="133" t="n">
        <x:v>0</x:v>
      </x:c>
      <x:c r="O589" s="133" t="n">
        <x:v>0</x:v>
      </x:c>
      <x:c r="P589" s="132"/>
    </x:row>
    <x:row r="590">
      <x:c r="A590" s="136" t="str">
        <x:v>01127021700</x:v>
      </x:c>
      <x:c r="B590" s="132" t="str">
        <x:v>Walker County</x:v>
      </x:c>
      <x:c r="C590" s="132" t="n">
        <x:v>0</x:v>
      </x:c>
      <x:c r="D590" s="134" t="n">
        <x:v>4490</x:v>
      </x:c>
      <x:c r="E590" s="133" t="n">
        <x:v>16.8</x:v>
      </x:c>
      <x:c r="F590" s="134" t="n">
        <x:v>3695</x:v>
      </x:c>
      <x:c r="G590" s="134" t="n">
        <x:v>0</x:v>
      </x:c>
      <x:c r="H590" s="134" t="n">
        <x:v>0</x:v>
      </x:c>
      <x:c r="I590" s="134" t="n">
        <x:v>0</x:v>
      </x:c>
      <x:c r="J590" s="133" t="n">
        <x:v>0</x:v>
      </x:c>
      <x:c r="K590" s="133" t="n">
        <x:v>0</x:v>
      </x:c>
      <x:c r="L590" s="133" t="n">
        <x:v>0</x:v>
      </x:c>
      <x:c r="M590" s="133" t="n">
        <x:v>0</x:v>
      </x:c>
      <x:c r="N590" s="133" t="n">
        <x:v>0</x:v>
      </x:c>
      <x:c r="O590" s="133" t="n">
        <x:v>0</x:v>
      </x:c>
      <x:c r="P590" s="132"/>
    </x:row>
    <x:row r="591">
      <x:c r="A591" s="136" t="str">
        <x:v>01127021800</x:v>
      </x:c>
      <x:c r="B591" s="132" t="str">
        <x:v>Walker County</x:v>
      </x:c>
      <x:c r="C591" s="132" t="n">
        <x:v>0</x:v>
      </x:c>
      <x:c r="D591" s="134" t="n">
        <x:v>3444</x:v>
      </x:c>
      <x:c r="E591" s="133" t="n">
        <x:v>18.9</x:v>
      </x:c>
      <x:c r="F591" s="134" t="n">
        <x:v>1518</x:v>
      </x:c>
      <x:c r="G591" s="134" t="n">
        <x:v>0</x:v>
      </x:c>
      <x:c r="H591" s="134" t="n">
        <x:v>0</x:v>
      </x:c>
      <x:c r="I591" s="134" t="n">
        <x:v>0</x:v>
      </x:c>
      <x:c r="J591" s="133" t="n">
        <x:v>0</x:v>
      </x:c>
      <x:c r="K591" s="133" t="n">
        <x:v>0</x:v>
      </x:c>
      <x:c r="L591" s="133" t="n">
        <x:v>0</x:v>
      </x:c>
      <x:c r="M591" s="133" t="n">
        <x:v>0</x:v>
      </x:c>
      <x:c r="N591" s="133" t="n">
        <x:v>0</x:v>
      </x:c>
      <x:c r="O591" s="133" t="n">
        <x:v>0</x:v>
      </x:c>
      <x:c r="P591" s="132"/>
    </x:row>
    <x:row r="592">
      <x:c r="A592" s="136" t="str">
        <x:v>01133965700</x:v>
      </x:c>
      <x:c r="B592" s="132" t="str">
        <x:v>Winston County</x:v>
      </x:c>
      <x:c r="C592" s="132" t="n">
        <x:v>0</x:v>
      </x:c>
      <x:c r="D592" s="134" t="n">
        <x:v>4693</x:v>
      </x:c>
      <x:c r="E592" s="133" t="n">
        <x:v>19.4</x:v>
      </x:c>
      <x:c r="F592" s="134" t="n">
        <x:v>1870</x:v>
      </x:c>
      <x:c r="G592" s="134" t="n">
        <x:v>0</x:v>
      </x:c>
      <x:c r="H592" s="134" t="n">
        <x:v>0</x:v>
      </x:c>
      <x:c r="I592" s="134" t="n">
        <x:v>0</x:v>
      </x:c>
      <x:c r="J592" s="133" t="n">
        <x:v>0</x:v>
      </x:c>
      <x:c r="K592" s="133" t="n">
        <x:v>0</x:v>
      </x:c>
      <x:c r="L592" s="133" t="n">
        <x:v>0</x:v>
      </x:c>
      <x:c r="M592" s="133" t="n">
        <x:v>0</x:v>
      </x:c>
      <x:c r="N592" s="133" t="n">
        <x:v>0</x:v>
      </x:c>
      <x:c r="O592" s="133" t="n">
        <x:v>0</x:v>
      </x:c>
      <x:c r="P592" s="132"/>
    </x:row>
    <x:row r="593">
      <x:c r="A593" s="136" t="str">
        <x:v>01003011416</x:v>
      </x:c>
      <x:c r="B593" s="132" t="str">
        <x:v>Baldwin County</x:v>
      </x:c>
      <x:c r="C593" s="132" t="n">
        <x:v>0</x:v>
      </x:c>
      <x:c r="D593" s="134" t="n">
        <x:v>1714</x:v>
      </x:c>
      <x:c r="E593" s="133" t="n">
        <x:v>11.1</x:v>
      </x:c>
      <x:c r="F593" s="134" t="n">
        <x:v>1265</x:v>
      </x:c>
      <x:c r="G593" s="134" t="n">
        <x:v>0</x:v>
      </x:c>
      <x:c r="H593" s="134" t="n">
        <x:v>2</x:v>
      </x:c>
      <x:c r="I593" s="134" t="n">
        <x:v>1</x:v>
      </x:c>
      <x:c r="J593" s="133" t="n">
        <x:v>0.11668611435239207</x:v>
      </x:c>
      <x:c r="K593" s="133" t="n">
        <x:v>0.07905138339920949</x:v>
      </x:c>
      <x:c r="L593" s="133" t="n">
        <x:v>0</x:v>
      </x:c>
      <x:c r="M593" s="133" t="n">
        <x:v>0.1763668430335097</x:v>
      </x:c>
      <x:c r="N593" s="133" t="n">
        <x:v>0</x:v>
      </x:c>
      <x:c r="O593" s="133" t="n">
        <x:v>0</x:v>
      </x:c>
      <x:c r="P593" s="132"/>
    </x:row>
    <x:row r="594">
      <x:c r="A594" s="136" t="str">
        <x:v>01011952202</x:v>
      </x:c>
      <x:c r="B594" s="132" t="str">
        <x:v>Bullock County</x:v>
      </x:c>
      <x:c r="C594" s="132" t="n">
        <x:v>0</x:v>
      </x:c>
      <x:c r="D594" s="134" t="n">
        <x:v>4341</x:v>
      </x:c>
      <x:c r="E594" s="133" t="n">
        <x:v>38.7</x:v>
      </x:c>
      <x:c r="F594" s="134" t="n">
        <x:v>387</x:v>
      </x:c>
      <x:c r="G594" s="134" t="n">
        <x:v>0</x:v>
      </x:c>
      <x:c r="H594" s="134" t="n">
        <x:v>6</x:v>
      </x:c>
      <x:c r="I594" s="134" t="n">
        <x:v>1</x:v>
      </x:c>
      <x:c r="J594" s="133" t="n">
        <x:v>0.138217000691085</x:v>
      </x:c>
      <x:c r="K594" s="133" t="n">
        <x:v>0.25839793281653745</x:v>
      </x:c>
      <x:c r="L594" s="133" t="n">
        <x:v>0.14265335235378032</x:v>
      </x:c>
      <x:c r="M594" s="133" t="n">
        <x:v>0.1597444089456869</x:v>
      </x:c>
      <x:c r="N594" s="133" t="n">
        <x:v>0</x:v>
      </x:c>
      <x:c r="O594" s="133" t="n">
        <x:v>0.2403846153846154</x:v>
      </x:c>
      <x:c r="P594" s="132"/>
    </x:row>
    <x:row r="595">
      <x:c r="A595" s="136" t="str">
        <x:v>01015000500</x:v>
      </x:c>
      <x:c r="B595" s="132" t="str">
        <x:v>Calhoun County</x:v>
      </x:c>
      <x:c r="C595" s="132" t="n">
        <x:v>1</x:v>
      </x:c>
      <x:c r="D595" s="134" t="n">
        <x:v>1097</x:v>
      </x:c>
      <x:c r="E595" s="133" t="n">
        <x:v>42.2</x:v>
      </x:c>
      <x:c r="F595" s="134" t="n">
        <x:v>258</x:v>
      </x:c>
      <x:c r="G595" s="134" t="n">
        <x:v>0</x:v>
      </x:c>
      <x:c r="H595" s="134" t="n">
        <x:v>4</x:v>
      </x:c>
      <x:c r="I595" s="134" t="n">
        <x:v>1</x:v>
      </x:c>
      <x:c r="J595" s="133" t="n">
        <x:v>0.3646308113035551</x:v>
      </x:c>
      <x:c r="K595" s="133" t="n">
        <x:v>0.3875968992248062</x:v>
      </x:c>
      <x:c r="L595" s="133" t="n">
        <x:v>0.4484304932735426</x:v>
      </x:c>
      <x:c r="M595" s="133" t="n">
        <x:v>0.4694835680751174</x:v>
      </x:c>
      <x:c r="N595" s="133" t="n">
        <x:v>0.746268656716418</x:v>
      </x:c>
      <x:c r="O595" s="133" t="n">
        <x:v>0.5747126436781609</x:v>
      </x:c>
      <x:c r="P595" s="132"/>
    </x:row>
    <x:row r="596">
      <x:c r="A596" s="136" t="str">
        <x:v>01017954300</x:v>
      </x:c>
      <x:c r="B596" s="132" t="str">
        <x:v>Chambers County</x:v>
      </x:c>
      <x:c r="C596" s="132" t="n">
        <x:v>0</x:v>
      </x:c>
      <x:c r="D596" s="134" t="n">
        <x:v>5637</x:v>
      </x:c>
      <x:c r="E596" s="133" t="n">
        <x:v>13.2</x:v>
      </x:c>
      <x:c r="F596" s="134" t="n">
        <x:v>3102</x:v>
      </x:c>
      <x:c r="G596" s="134" t="n">
        <x:v>0</x:v>
      </x:c>
      <x:c r="H596" s="134" t="n">
        <x:v>1</x:v>
      </x:c>
      <x:c r="I596" s="134" t="n">
        <x:v>1</x:v>
      </x:c>
      <x:c r="J596" s="133" t="n">
        <x:v>0.017739932588256166</x:v>
      </x:c>
      <x:c r="K596" s="133" t="n">
        <x:v>0.032237266279819474</x:v>
      </x:c>
      <x:c r="L596" s="133" t="n">
        <x:v>0</x:v>
      </x:c>
      <x:c r="M596" s="133" t="n">
        <x:v>0</x:v>
      </x:c>
      <x:c r="N596" s="133" t="n">
        <x:v>0</x:v>
      </x:c>
      <x:c r="O596" s="133" t="n">
        <x:v>0</x:v>
      </x:c>
      <x:c r="P596" s="132"/>
    </x:row>
    <x:row r="597">
      <x:c r="A597" s="136" t="str">
        <x:v>01019956000</x:v>
      </x:c>
      <x:c r="B597" s="132" t="str">
        <x:v>Cherokee County</x:v>
      </x:c>
      <x:c r="C597" s="132" t="n">
        <x:v>0</x:v>
      </x:c>
      <x:c r="D597" s="134" t="n">
        <x:v>4053</x:v>
      </x:c>
      <x:c r="E597" s="133" t="n">
        <x:v>11.1</x:v>
      </x:c>
      <x:c r="F597" s="134" t="n">
        <x:v>2599</x:v>
      </x:c>
      <x:c r="G597" s="134" t="n">
        <x:v>0</x:v>
      </x:c>
      <x:c r="H597" s="134" t="n">
        <x:v>1</x:v>
      </x:c>
      <x:c r="I597" s="134" t="n">
        <x:v>1</x:v>
      </x:c>
      <x:c r="J597" s="133" t="n">
        <x:v>0.02467308166790032</x:v>
      </x:c>
      <x:c r="K597" s="133" t="n">
        <x:v>0.038476337052712584</x:v>
      </x:c>
      <x:c r="L597" s="133" t="n">
        <x:v>0</x:v>
      </x:c>
      <x:c r="M597" s="133" t="n">
        <x:v>0</x:v>
      </x:c>
      <x:c r="N597" s="133" t="n">
        <x:v>0</x:v>
      </x:c>
      <x:c r="O597" s="133" t="n">
        <x:v>0</x:v>
      </x:c>
      <x:c r="P597" s="132"/>
    </x:row>
    <x:row r="598">
      <x:c r="A598" s="136" t="str">
        <x:v>01021060200</x:v>
      </x:c>
      <x:c r="B598" s="132" t="str">
        <x:v>Chilton County</x:v>
      </x:c>
      <x:c r="C598" s="132" t="n">
        <x:v>0</x:v>
      </x:c>
      <x:c r="D598" s="134" t="n">
        <x:v>2751</x:v>
      </x:c>
      <x:c r="E598" s="133" t="n">
        <x:v>9.3</x:v>
      </x:c>
      <x:c r="F598" s="134" t="n">
        <x:v>2637</x:v>
      </x:c>
      <x:c r="G598" s="134" t="n">
        <x:v>0</x:v>
      </x:c>
      <x:c r="H598" s="134" t="n">
        <x:v>1</x:v>
      </x:c>
      <x:c r="I598" s="134" t="n">
        <x:v>1</x:v>
      </x:c>
      <x:c r="J598" s="133" t="n">
        <x:v>0.03635041802980734</x:v>
      </x:c>
      <x:c r="K598" s="133" t="n">
        <x:v>0.037921880925293895</x:v>
      </x:c>
      <x:c r="L598" s="133" t="n">
        <x:v>0</x:v>
      </x:c>
      <x:c r="M598" s="133" t="n">
        <x:v>0</x:v>
      </x:c>
      <x:c r="N598" s="133" t="n">
        <x:v>0</x:v>
      </x:c>
      <x:c r="O598" s="133" t="n">
        <x:v>0</x:v>
      </x:c>
      <x:c r="P598" s="132"/>
    </x:row>
    <x:row r="599">
      <x:c r="A599" s="136" t="str">
        <x:v>01031010300</x:v>
      </x:c>
      <x:c r="B599" s="132" t="str">
        <x:v>Coffee County</x:v>
      </x:c>
      <x:c r="C599" s="132" t="n">
        <x:v>0</x:v>
      </x:c>
      <x:c r="D599" s="134" t="n">
        <x:v>5151</x:v>
      </x:c>
      <x:c r="E599" s="133" t="n">
        <x:v>14.5</x:v>
      </x:c>
      <x:c r="F599" s="134" t="n">
        <x:v>3390</x:v>
      </x:c>
      <x:c r="G599" s="134" t="n">
        <x:v>0</x:v>
      </x:c>
      <x:c r="H599" s="134" t="n">
        <x:v>2</x:v>
      </x:c>
      <x:c r="I599" s="134" t="n">
        <x:v>1</x:v>
      </x:c>
      <x:c r="J599" s="133" t="n">
        <x:v>0.03882741215298</x:v>
      </x:c>
      <x:c r="K599" s="133" t="n">
        <x:v>0.029498525073746312</x:v>
      </x:c>
      <x:c r="L599" s="133" t="n">
        <x:v>0</x:v>
      </x:c>
      <x:c r="M599" s="133" t="n">
        <x:v>0</x:v>
      </x:c>
      <x:c r="N599" s="133" t="n">
        <x:v>0</x:v>
      </x:c>
      <x:c r="O599" s="133" t="n">
        <x:v>0</x:v>
      </x:c>
      <x:c r="P599" s="132"/>
    </x:row>
    <x:row r="600">
      <x:c r="A600" s="136" t="str">
        <x:v>01037961000</x:v>
      </x:c>
      <x:c r="B600" s="132" t="str">
        <x:v>Coosa County</x:v>
      </x:c>
      <x:c r="C600" s="132" t="n">
        <x:v>0</x:v>
      </x:c>
      <x:c r="D600" s="134" t="n">
        <x:v>3697</x:v>
      </x:c>
      <x:c r="E600" s="133" t="n">
        <x:v>22.8</x:v>
      </x:c>
      <x:c r="F600" s="134" t="n">
        <x:v>1285</x:v>
      </x:c>
      <x:c r="G600" s="134" t="n">
        <x:v>0</x:v>
      </x:c>
      <x:c r="H600" s="134" t="n">
        <x:v>3</x:v>
      </x:c>
      <x:c r="I600" s="134" t="n">
        <x:v>1</x:v>
      </x:c>
      <x:c r="J600" s="133" t="n">
        <x:v>0.08114687584527995</x:v>
      </x:c>
      <x:c r="K600" s="133" t="n">
        <x:v>0.07782101167315175</x:v>
      </x:c>
      <x:c r="L600" s="133" t="n">
        <x:v>0.14388489208633093</x:v>
      </x:c>
      <x:c r="M600" s="133" t="n">
        <x:v>0.1314060446780552</x:v>
      </x:c>
      <x:c r="N600" s="133" t="n">
        <x:v>0</x:v>
      </x:c>
      <x:c r="O600" s="133" t="n">
        <x:v>0</x:v>
      </x:c>
      <x:c r="P600" s="132"/>
    </x:row>
    <x:row r="601">
      <x:c r="A601" s="136" t="str">
        <x:v>01039962800</x:v>
      </x:c>
      <x:c r="B601" s="132" t="str">
        <x:v>Covington County</x:v>
      </x:c>
      <x:c r="C601" s="132" t="n">
        <x:v>0</x:v>
      </x:c>
      <x:c r="D601" s="134" t="n">
        <x:v>1693</x:v>
      </x:c>
      <x:c r="E601" s="133" t="n">
        <x:v>16.3</x:v>
      </x:c>
      <x:c r="F601" s="134" t="n">
        <x:v>833</x:v>
      </x:c>
      <x:c r="G601" s="134" t="n">
        <x:v>0</x:v>
      </x:c>
      <x:c r="H601" s="134" t="n">
        <x:v>2</x:v>
      </x:c>
      <x:c r="I601" s="134" t="n">
        <x:v>1</x:v>
      </x:c>
      <x:c r="J601" s="133" t="n">
        <x:v>0.11813349084465447</x:v>
      </x:c>
      <x:c r="K601" s="133" t="n">
        <x:v>0.12004801920768307</x:v>
      </x:c>
      <x:c r="L601" s="133" t="n">
        <x:v>0</x:v>
      </x:c>
      <x:c r="M601" s="133" t="n">
        <x:v>0</x:v>
      </x:c>
      <x:c r="N601" s="133" t="n">
        <x:v>0</x:v>
      </x:c>
      <x:c r="O601" s="133" t="n">
        <x:v>0</x:v>
      </x:c>
      <x:c r="P601" s="132"/>
    </x:row>
    <x:row r="602">
      <x:c r="A602" s="136" t="str">
        <x:v>01043964500</x:v>
      </x:c>
      <x:c r="B602" s="132" t="str">
        <x:v>Cullman County</x:v>
      </x:c>
      <x:c r="C602" s="132" t="n">
        <x:v>0</x:v>
      </x:c>
      <x:c r="D602" s="134" t="n">
        <x:v>4629</x:v>
      </x:c>
      <x:c r="E602" s="133" t="n">
        <x:v>16.9</x:v>
      </x:c>
      <x:c r="F602" s="134" t="n">
        <x:v>3148</x:v>
      </x:c>
      <x:c r="G602" s="134" t="n">
        <x:v>0</x:v>
      </x:c>
      <x:c r="H602" s="134" t="n">
        <x:v>1</x:v>
      </x:c>
      <x:c r="I602" s="134" t="n">
        <x:v>1</x:v>
      </x:c>
      <x:c r="J602" s="133" t="n">
        <x:v>0.02160293799956794</x:v>
      </x:c>
      <x:c r="K602" s="133" t="n">
        <x:v>0.03176620076238882</x:v>
      </x:c>
      <x:c r="L602" s="133" t="n">
        <x:v>0</x:v>
      </x:c>
      <x:c r="M602" s="133" t="n">
        <x:v>0</x:v>
      </x:c>
      <x:c r="N602" s="133" t="n">
        <x:v>0</x:v>
      </x:c>
      <x:c r="O602" s="133" t="n">
        <x:v>0</x:v>
      </x:c>
      <x:c r="P602" s="132"/>
    </x:row>
    <x:row r="603">
      <x:c r="A603" s="136" t="str">
        <x:v>01047956202</x:v>
      </x:c>
      <x:c r="B603" s="132" t="str">
        <x:v>Dallas County</x:v>
      </x:c>
      <x:c r="C603" s="132" t="n">
        <x:v>0</x:v>
      </x:c>
      <x:c r="D603" s="134" t="n">
        <x:v>2251</x:v>
      </x:c>
      <x:c r="E603" s="133" t="n">
        <x:v>39</x:v>
      </x:c>
      <x:c r="F603" s="134" t="n">
        <x:v>962</x:v>
      </x:c>
      <x:c r="G603" s="134" t="n">
        <x:v>0</x:v>
      </x:c>
      <x:c r="H603" s="134" t="n">
        <x:v>2</x:v>
      </x:c>
      <x:c r="I603" s="134" t="n">
        <x:v>1</x:v>
      </x:c>
      <x:c r="J603" s="133" t="n">
        <x:v>0.0888494002665482</x:v>
      </x:c>
      <x:c r="K603" s="133" t="n">
        <x:v>0.10395010395010396</x:v>
      </x:c>
      <x:c r="L603" s="133" t="n">
        <x:v>0.1988071570576541</x:v>
      </x:c>
      <x:c r="M603" s="133" t="n">
        <x:v>0</x:v>
      </x:c>
      <x:c r="N603" s="133" t="n">
        <x:v>0</x:v>
      </x:c>
      <x:c r="O603" s="133" t="n">
        <x:v>0</x:v>
      </x:c>
      <x:c r="P603" s="132"/>
    </x:row>
    <x:row r="604">
      <x:c r="A604" s="136" t="str">
        <x:v>01047956600</x:v>
      </x:c>
      <x:c r="B604" s="132" t="str">
        <x:v>Dallas County</x:v>
      </x:c>
      <x:c r="C604" s="132" t="n">
        <x:v>1</x:v>
      </x:c>
      <x:c r="D604" s="134" t="n">
        <x:v>2787</x:v>
      </x:c>
      <x:c r="E604" s="133" t="n">
        <x:v>50.2</x:v>
      </x:c>
      <x:c r="F604" s="134" t="n">
        <x:v>772</x:v>
      </x:c>
      <x:c r="G604" s="134" t="n">
        <x:v>0</x:v>
      </x:c>
      <x:c r="H604" s="134" t="n">
        <x:v>3</x:v>
      </x:c>
      <x:c r="I604" s="134" t="n">
        <x:v>1</x:v>
      </x:c>
      <x:c r="J604" s="133" t="n">
        <x:v>0.10764262648008611</x:v>
      </x:c>
      <x:c r="K604" s="133" t="n">
        <x:v>0.12953367875647667</x:v>
      </x:c>
      <x:c r="L604" s="133" t="n">
        <x:v>0.145985401459854</x:v>
      </x:c>
      <x:c r="M604" s="133" t="n">
        <x:v>0</x:v>
      </x:c>
      <x:c r="N604" s="133" t="n">
        <x:v>0</x:v>
      </x:c>
      <x:c r="O604" s="133" t="n">
        <x:v>0</x:v>
      </x:c>
      <x:c r="P604" s="132"/>
    </x:row>
    <x:row r="605">
      <x:c r="A605" s="136" t="str">
        <x:v>01049960101</x:v>
      </x:c>
      <x:c r="B605" s="132" t="str">
        <x:v>DeKalb County</x:v>
      </x:c>
      <x:c r="C605" s="132" t="n">
        <x:v>0</x:v>
      </x:c>
      <x:c r="D605" s="134" t="n">
        <x:v>1847</x:v>
      </x:c>
      <x:c r="E605" s="133" t="n">
        <x:v>32.2</x:v>
      </x:c>
      <x:c r="F605" s="134" t="n">
        <x:v>1053</x:v>
      </x:c>
      <x:c r="G605" s="134" t="n">
        <x:v>0</x:v>
      </x:c>
      <x:c r="H605" s="134" t="n">
        <x:v>1</x:v>
      </x:c>
      <x:c r="I605" s="134" t="n">
        <x:v>1</x:v>
      </x:c>
      <x:c r="J605" s="133" t="n">
        <x:v>0.05414185165132648</x:v>
      </x:c>
      <x:c r="K605" s="133" t="n">
        <x:v>0.0949667616334283</x:v>
      </x:c>
      <x:c r="L605" s="133" t="n">
        <x:v>0</x:v>
      </x:c>
      <x:c r="M605" s="133" t="n">
        <x:v>0</x:v>
      </x:c>
      <x:c r="N605" s="133" t="n">
        <x:v>0</x:v>
      </x:c>
      <x:c r="O605" s="133" t="n">
        <x:v>0</x:v>
      </x:c>
      <x:c r="P605" s="132"/>
    </x:row>
    <x:row r="606">
      <x:c r="A606" s="136" t="str">
        <x:v>01049960602</x:v>
      </x:c>
      <x:c r="B606" s="132" t="str">
        <x:v>DeKalb County</x:v>
      </x:c>
      <x:c r="C606" s="132" t="n">
        <x:v>0</x:v>
      </x:c>
      <x:c r="D606" s="134" t="n">
        <x:v>4855</x:v>
      </x:c>
      <x:c r="E606" s="133" t="n">
        <x:v>19.1</x:v>
      </x:c>
      <x:c r="F606" s="134" t="n">
        <x:v>2485</x:v>
      </x:c>
      <x:c r="G606" s="134" t="n">
        <x:v>0</x:v>
      </x:c>
      <x:c r="H606" s="134" t="n">
        <x:v>1</x:v>
      </x:c>
      <x:c r="I606" s="134" t="n">
        <x:v>1</x:v>
      </x:c>
      <x:c r="J606" s="133" t="n">
        <x:v>0.02059732234809475</x:v>
      </x:c>
      <x:c r="K606" s="133" t="n">
        <x:v>0.04024144869215292</x:v>
      </x:c>
      <x:c r="L606" s="133" t="n">
        <x:v>0</x:v>
      </x:c>
      <x:c r="M606" s="133" t="n">
        <x:v>0</x:v>
      </x:c>
      <x:c r="N606" s="133" t="n">
        <x:v>0</x:v>
      </x:c>
      <x:c r="O606" s="133" t="n">
        <x:v>0</x:v>
      </x:c>
      <x:c r="P606" s="132"/>
    </x:row>
    <x:row r="607">
      <x:c r="A607" s="136" t="str">
        <x:v>01051030101</x:v>
      </x:c>
      <x:c r="B607" s="132" t="str">
        <x:v>Elmore County</x:v>
      </x:c>
      <x:c r="C607" s="132" t="n">
        <x:v>0</x:v>
      </x:c>
      <x:c r="D607" s="134" t="n">
        <x:v>3711</x:v>
      </x:c>
      <x:c r="E607" s="133" t="n">
        <x:v>5</x:v>
      </x:c>
      <x:c r="F607" s="134" t="n">
        <x:v>2781</x:v>
      </x:c>
      <x:c r="G607" s="134" t="n">
        <x:v>0</x:v>
      </x:c>
      <x:c r="H607" s="134" t="n">
        <x:v>1</x:v>
      </x:c>
      <x:c r="I607" s="134" t="n">
        <x:v>1</x:v>
      </x:c>
      <x:c r="J607" s="133" t="n">
        <x:v>0.026946914578280787</x:v>
      </x:c>
      <x:c r="K607" s="133" t="n">
        <x:v>0.03595828838547285</x:v>
      </x:c>
      <x:c r="L607" s="133" t="n">
        <x:v>0</x:v>
      </x:c>
      <x:c r="M607" s="133" t="n">
        <x:v>0</x:v>
      </x:c>
      <x:c r="N607" s="133"/>
      <x:c r="O607" s="133" t="n">
        <x:v>0</x:v>
      </x:c>
      <x:c r="P607" s="132"/>
    </x:row>
    <x:row r="608">
      <x:c r="A608" s="136" t="str">
        <x:v>01071950302</x:v>
      </x:c>
      <x:c r="B608" s="132" t="str">
        <x:v>Jackson County</x:v>
      </x:c>
      <x:c r="C608" s="132" t="n">
        <x:v>0</x:v>
      </x:c>
      <x:c r="D608" s="134" t="n">
        <x:v>3089</x:v>
      </x:c>
      <x:c r="E608" s="133" t="n">
        <x:v>35.1</x:v>
      </x:c>
      <x:c r="F608" s="134" t="n">
        <x:v>1103</x:v>
      </x:c>
      <x:c r="G608" s="134" t="n">
        <x:v>0</x:v>
      </x:c>
      <x:c r="H608" s="134" t="n">
        <x:v>2</x:v>
      </x:c>
      <x:c r="I608" s="134" t="n">
        <x:v>1</x:v>
      </x:c>
      <x:c r="J608" s="133" t="n">
        <x:v>0.06474587245063128</x:v>
      </x:c>
      <x:c r="K608" s="133" t="n">
        <x:v>0.09066183136899365</x:v>
      </x:c>
      <x:c r="L608" s="133" t="n">
        <x:v>0.1349527665317139</x:v>
      </x:c>
      <x:c r="M608" s="133" t="n">
        <x:v>0</x:v>
      </x:c>
      <x:c r="N608" s="133" t="n">
        <x:v>0</x:v>
      </x:c>
      <x:c r="O608" s="133" t="n">
        <x:v>0</x:v>
      </x:c>
      <x:c r="P608" s="132"/>
    </x:row>
    <x:row r="609">
      <x:c r="A609" s="136" t="str">
        <x:v>01073001902</x:v>
      </x:c>
      <x:c r="B609" s="132" t="str">
        <x:v>Jefferson County</x:v>
      </x:c>
      <x:c r="C609" s="132" t="n">
        <x:v>1</x:v>
      </x:c>
      <x:c r="D609" s="134" t="n">
        <x:v>1522</x:v>
      </x:c>
      <x:c r="E609" s="133" t="n">
        <x:v>24.9</x:v>
      </x:c>
      <x:c r="F609" s="134" t="n">
        <x:v>596</x:v>
      </x:c>
      <x:c r="G609" s="134" t="n">
        <x:v>0</x:v>
      </x:c>
      <x:c r="H609" s="134" t="n">
        <x:v>2</x:v>
      </x:c>
      <x:c r="I609" s="134" t="n">
        <x:v>1</x:v>
      </x:c>
      <x:c r="J609" s="133" t="n">
        <x:v>0.1314060446780552</x:v>
      </x:c>
      <x:c r="K609" s="133" t="n">
        <x:v>0.16778523489932887</x:v>
      </x:c>
      <x:c r="L609" s="133" t="n">
        <x:v>0</x:v>
      </x:c>
      <x:c r="M609" s="133" t="n">
        <x:v>0</x:v>
      </x:c>
      <x:c r="N609" s="133" t="n">
        <x:v>0</x:v>
      </x:c>
      <x:c r="O609" s="133" t="n">
        <x:v>0</x:v>
      </x:c>
      <x:c r="P609" s="132"/>
    </x:row>
    <x:row r="610">
      <x:c r="A610" s="136" t="str">
        <x:v>01073002401</x:v>
      </x:c>
      <x:c r="B610" s="132" t="str">
        <x:v>Jefferson County</x:v>
      </x:c>
      <x:c r="C610" s="132" t="n">
        <x:v>1</x:v>
      </x:c>
      <x:c r="D610" s="134" t="n">
        <x:v>2693</x:v>
      </x:c>
      <x:c r="E610" s="133" t="n">
        <x:v>16.3</x:v>
      </x:c>
      <x:c r="F610" s="134" t="n">
        <x:v>1644</x:v>
      </x:c>
      <x:c r="G610" s="134" t="n">
        <x:v>0</x:v>
      </x:c>
      <x:c r="H610" s="134" t="n">
        <x:v>1</x:v>
      </x:c>
      <x:c r="I610" s="134" t="n">
        <x:v>1</x:v>
      </x:c>
      <x:c r="J610" s="133" t="n">
        <x:v>0.03713330857779428</x:v>
      </x:c>
      <x:c r="K610" s="133" t="n">
        <x:v>0.06082725060827251</x:v>
      </x:c>
      <x:c r="L610" s="133" t="n">
        <x:v>0</x:v>
      </x:c>
      <x:c r="M610" s="133" t="n">
        <x:v>0</x:v>
      </x:c>
      <x:c r="N610" s="133" t="n">
        <x:v>0</x:v>
      </x:c>
      <x:c r="O610" s="133" t="n">
        <x:v>0</x:v>
      </x:c>
      <x:c r="P610" s="132"/>
    </x:row>
    <x:row r="611">
      <x:c r="A611" s="136" t="str">
        <x:v>01073002702</x:v>
      </x:c>
      <x:c r="B611" s="132" t="str">
        <x:v>Jefferson County</x:v>
      </x:c>
      <x:c r="C611" s="132" t="n">
        <x:v>1</x:v>
      </x:c>
      <x:c r="D611" s="134" t="n">
        <x:v>2034</x:v>
      </x:c>
      <x:c r="E611" s="133" t="n">
        <x:v>35</x:v>
      </x:c>
      <x:c r="F611" s="134" t="n">
        <x:v>509</x:v>
      </x:c>
      <x:c r="G611" s="134" t="n">
        <x:v>0</x:v>
      </x:c>
      <x:c r="H611" s="134" t="n">
        <x:v>4</x:v>
      </x:c>
      <x:c r="I611" s="134" t="n">
        <x:v>1</x:v>
      </x:c>
      <x:c r="J611" s="133" t="n">
        <x:v>0.19665683382497542</x:v>
      </x:c>
      <x:c r="K611" s="133" t="n">
        <x:v>0.19646365422396855</x:v>
      </x:c>
      <x:c r="L611" s="133" t="n">
        <x:v>0.3367003367003367</x:v>
      </x:c>
      <x:c r="M611" s="133" t="n">
        <x:v>0.31446540880503143</x:v>
      </x:c>
      <x:c r="N611" s="133" t="n">
        <x:v>0.2958579881656805</x:v>
      </x:c>
      <x:c r="O611" s="133" t="n">
        <x:v>0.31645569620253167</x:v>
      </x:c>
      <x:c r="P611" s="132"/>
    </x:row>
    <x:row r="612">
      <x:c r="A612" s="136" t="str">
        <x:v>01073003400</x:v>
      </x:c>
      <x:c r="B612" s="132" t="str">
        <x:v>Jefferson County</x:v>
      </x:c>
      <x:c r="C612" s="132" t="n">
        <x:v>1</x:v>
      </x:c>
      <x:c r="D612" s="134" t="n">
        <x:v>1955</x:v>
      </x:c>
      <x:c r="E612" s="133" t="n">
        <x:v>37.3</x:v>
      </x:c>
      <x:c r="F612" s="134" t="n">
        <x:v>825</x:v>
      </x:c>
      <x:c r="G612" s="134" t="n">
        <x:v>0</x:v>
      </x:c>
      <x:c r="H612" s="134" t="n">
        <x:v>3</x:v>
      </x:c>
      <x:c r="I612" s="134" t="n">
        <x:v>1</x:v>
      </x:c>
      <x:c r="J612" s="133" t="n">
        <x:v>0.1534526854219949</x:v>
      </x:c>
      <x:c r="K612" s="133" t="n">
        <x:v>0.12121212121212122</x:v>
      </x:c>
      <x:c r="L612" s="133" t="n">
        <x:v>0.24937655860349128</x:v>
      </x:c>
      <x:c r="M612" s="133" t="n">
        <x:v>0</x:v>
      </x:c>
      <x:c r="N612" s="133" t="n">
        <x:v>0</x:v>
      </x:c>
      <x:c r="O612" s="133" t="n">
        <x:v>0.26525198938992045</x:v>
      </x:c>
      <x:c r="P612" s="132"/>
    </x:row>
    <x:row r="613">
      <x:c r="A613" s="136" t="str">
        <x:v>01073004000</x:v>
      </x:c>
      <x:c r="B613" s="132" t="str">
        <x:v>Jefferson County</x:v>
      </x:c>
      <x:c r="C613" s="132" t="n">
        <x:v>1</x:v>
      </x:c>
      <x:c r="D613" s="134" t="n">
        <x:v>2984</x:v>
      </x:c>
      <x:c r="E613" s="133" t="n">
        <x:v>48.7</x:v>
      </x:c>
      <x:c r="F613" s="134" t="n">
        <x:v>936</x:v>
      </x:c>
      <x:c r="G613" s="134" t="n">
        <x:v>0</x:v>
      </x:c>
      <x:c r="H613" s="134" t="n">
        <x:v>4</x:v>
      </x:c>
      <x:c r="I613" s="134" t="n">
        <x:v>1</x:v>
      </x:c>
      <x:c r="J613" s="133" t="n">
        <x:v>0.13404825737265416</x:v>
      </x:c>
      <x:c r="K613" s="133" t="n">
        <x:v>0.10683760683760683</x:v>
      </x:c>
      <x:c r="L613" s="133" t="n">
        <x:v>0.18761726078799248</x:v>
      </x:c>
      <x:c r="M613" s="133" t="n">
        <x:v>0.12360939431396786</x:v>
      </x:c>
      <x:c r="N613" s="133" t="n">
        <x:v>0.1926782273603083</x:v>
      </x:c>
      <x:c r="O613" s="133" t="n">
        <x:v>0.15337423312883436</x:v>
      </x:c>
      <x:c r="P613" s="132"/>
    </x:row>
    <x:row r="614">
      <x:c r="A614" s="136" t="str">
        <x:v>01073014002</x:v>
      </x:c>
      <x:c r="B614" s="132" t="str">
        <x:v>Jefferson County</x:v>
      </x:c>
      <x:c r="C614" s="132" t="n">
        <x:v>0</x:v>
      </x:c>
      <x:c r="D614" s="134" t="n">
        <x:v>3510</x:v>
      </x:c>
      <x:c r="E614" s="133" t="n">
        <x:v>9.5</x:v>
      </x:c>
      <x:c r="F614" s="134" t="n">
        <x:v>2233</x:v>
      </x:c>
      <x:c r="G614" s="134" t="n">
        <x:v>0</x:v>
      </x:c>
      <x:c r="H614" s="134" t="n">
        <x:v>1</x:v>
      </x:c>
      <x:c r="I614" s="134" t="n">
        <x:v>1</x:v>
      </x:c>
      <x:c r="J614" s="133" t="n">
        <x:v>0.02849002849002849</x:v>
      </x:c>
      <x:c r="K614" s="133" t="n">
        <x:v>0.04478280340349306</x:v>
      </x:c>
      <x:c r="L614" s="133" t="n">
        <x:v>0</x:v>
      </x:c>
      <x:c r="M614" s="133" t="n">
        <x:v>0</x:v>
      </x:c>
      <x:c r="N614" s="133" t="n">
        <x:v>0</x:v>
      </x:c>
      <x:c r="O614" s="133" t="n">
        <x:v>0</x:v>
      </x:c>
      <x:c r="P614" s="132"/>
    </x:row>
    <x:row r="615">
      <x:c r="A615" s="136" t="str">
        <x:v>01077010300</x:v>
      </x:c>
      <x:c r="B615" s="132" t="str">
        <x:v>Lauderdale County</x:v>
      </x:c>
      <x:c r="C615" s="132" t="n">
        <x:v>1</x:v>
      </x:c>
      <x:c r="D615" s="134" t="n">
        <x:v>1250</x:v>
      </x:c>
      <x:c r="E615" s="133" t="n">
        <x:v>61.8</x:v>
      </x:c>
      <x:c r="F615" s="134" t="n">
        <x:v>196</x:v>
      </x:c>
      <x:c r="G615" s="134" t="n">
        <x:v>0</x:v>
      </x:c>
      <x:c r="H615" s="134" t="n">
        <x:v>9</x:v>
      </x:c>
      <x:c r="I615" s="134" t="n">
        <x:v>1</x:v>
      </x:c>
      <x:c r="J615" s="133" t="n">
        <x:v>0.72</x:v>
      </x:c>
      <x:c r="K615" s="133" t="n">
        <x:v>0.5102040816326531</x:v>
      </x:c>
      <x:c r="L615" s="133" t="n">
        <x:v>0.8064516129032258</x:v>
      </x:c>
      <x:c r="M615" s="133" t="n">
        <x:v>0.5747126436781609</x:v>
      </x:c>
      <x:c r="N615" s="133" t="n">
        <x:v>0.5747126436781609</x:v>
      </x:c>
      <x:c r="O615" s="133" t="n">
        <x:v>0.684931506849315</x:v>
      </x:c>
      <x:c r="P615" s="132"/>
    </x:row>
    <x:row r="616">
      <x:c r="A616" s="136" t="str">
        <x:v>01077011605</x:v>
      </x:c>
      <x:c r="B616" s="132" t="str">
        <x:v>Lauderdale County</x:v>
      </x:c>
      <x:c r="C616" s="132" t="n">
        <x:v>0</x:v>
      </x:c>
      <x:c r="D616" s="134" t="n">
        <x:v>2713</x:v>
      </x:c>
      <x:c r="E616" s="133" t="n">
        <x:v>4.7</x:v>
      </x:c>
      <x:c r="F616" s="134" t="n">
        <x:v>2210</x:v>
      </x:c>
      <x:c r="G616" s="134" t="n">
        <x:v>0</x:v>
      </x:c>
      <x:c r="H616" s="134" t="n">
        <x:v>1</x:v>
      </x:c>
      <x:c r="I616" s="134" t="n">
        <x:v>1</x:v>
      </x:c>
      <x:c r="J616" s="133" t="n">
        <x:v>0.036859565057132324</x:v>
      </x:c>
      <x:c r="K616" s="133" t="n">
        <x:v>0.04524886877828054</x:v>
      </x:c>
      <x:c r="L616" s="133" t="n">
        <x:v>0</x:v>
      </x:c>
      <x:c r="M616" s="133" t="n">
        <x:v>0</x:v>
      </x:c>
      <x:c r="N616" s="133" t="n">
        <x:v>0</x:v>
      </x:c>
      <x:c r="O616" s="133" t="n">
        <x:v>0</x:v>
      </x:c>
      <x:c r="P616" s="132"/>
    </x:row>
    <x:row r="617">
      <x:c r="A617" s="136" t="str">
        <x:v>01077011802</x:v>
      </x:c>
      <x:c r="B617" s="132" t="str">
        <x:v>Lauderdale County</x:v>
      </x:c>
      <x:c r="C617" s="132" t="n">
        <x:v>0</x:v>
      </x:c>
      <x:c r="D617" s="134" t="n">
        <x:v>3739</x:v>
      </x:c>
      <x:c r="E617" s="133" t="n">
        <x:v>4.6</x:v>
      </x:c>
      <x:c r="F617" s="134" t="n">
        <x:v>3313</x:v>
      </x:c>
      <x:c r="G617" s="134" t="n">
        <x:v>0</x:v>
      </x:c>
      <x:c r="H617" s="134" t="n">
        <x:v>1</x:v>
      </x:c>
      <x:c r="I617" s="134" t="n">
        <x:v>1</x:v>
      </x:c>
      <x:c r="J617" s="133" t="n">
        <x:v>0.026745119015779622</x:v>
      </x:c>
      <x:c r="K617" s="133" t="n">
        <x:v>0.03018412315122246</x:v>
      </x:c>
      <x:c r="L617" s="133" t="n">
        <x:v>0</x:v>
      </x:c>
      <x:c r="M617" s="133" t="n">
        <x:v>0</x:v>
      </x:c>
      <x:c r="N617" s="133" t="n">
        <x:v>0</x:v>
      </x:c>
      <x:c r="O617" s="133" t="n">
        <x:v>0</x:v>
      </x:c>
      <x:c r="P617" s="132"/>
    </x:row>
    <x:row r="618">
      <x:c r="A618" s="136" t="str">
        <x:v>01079979100</x:v>
      </x:c>
      <x:c r="B618" s="132" t="str">
        <x:v>Lawrence County</x:v>
      </x:c>
      <x:c r="C618" s="132" t="n">
        <x:v>0</x:v>
      </x:c>
      <x:c r="D618" s="134" t="n">
        <x:v>1523</x:v>
      </x:c>
      <x:c r="E618" s="133" t="n">
        <x:v>15.3</x:v>
      </x:c>
      <x:c r="F618" s="134" t="n">
        <x:v>1105</x:v>
      </x:c>
      <x:c r="G618" s="134" t="n">
        <x:v>0</x:v>
      </x:c>
      <x:c r="H618" s="134" t="n">
        <x:v>2</x:v>
      </x:c>
      <x:c r="I618" s="134" t="n">
        <x:v>1</x:v>
      </x:c>
      <x:c r="J618" s="133" t="n">
        <x:v>0.1313197636244255</x:v>
      </x:c>
      <x:c r="K618" s="133" t="n">
        <x:v>0.09049773755656108</x:v>
      </x:c>
      <x:c r="L618" s="133" t="n">
        <x:v>0</x:v>
      </x:c>
      <x:c r="M618" s="133" t="n">
        <x:v>0</x:v>
      </x:c>
      <x:c r="N618" s="133" t="n">
        <x:v>0</x:v>
      </x:c>
      <x:c r="O618" s="133" t="n">
        <x:v>0</x:v>
      </x:c>
      <x:c r="P618" s="132"/>
    </x:row>
    <x:row r="619">
      <x:c r="A619" s="136" t="str">
        <x:v>01083020300</x:v>
      </x:c>
      <x:c r="B619" s="132" t="str">
        <x:v>Limestone County</x:v>
      </x:c>
      <x:c r="C619" s="132" t="n">
        <x:v>0</x:v>
      </x:c>
      <x:c r="D619" s="134" t="n">
        <x:v>3800</x:v>
      </x:c>
      <x:c r="E619" s="133" t="n">
        <x:v>21.2</x:v>
      </x:c>
      <x:c r="F619" s="134" t="n">
        <x:v>2337</x:v>
      </x:c>
      <x:c r="G619" s="134" t="n">
        <x:v>0</x:v>
      </x:c>
      <x:c r="H619" s="134" t="n">
        <x:v>2</x:v>
      </x:c>
      <x:c r="I619" s="134" t="n">
        <x:v>1</x:v>
      </x:c>
      <x:c r="J619" s="133" t="n">
        <x:v>0.05263157894736842</x:v>
      </x:c>
      <x:c r="K619" s="133" t="n">
        <x:v>0.04278990158322636</x:v>
      </x:c>
      <x:c r="L619" s="133" t="n">
        <x:v>0</x:v>
      </x:c>
      <x:c r="M619" s="133" t="n">
        <x:v>0</x:v>
      </x:c>
      <x:c r="N619" s="133" t="n">
        <x:v>0</x:v>
      </x:c>
      <x:c r="O619" s="133" t="n">
        <x:v>0</x:v>
      </x:c>
      <x:c r="P619" s="132"/>
    </x:row>
    <x:row r="620">
      <x:c r="A620" s="136" t="str">
        <x:v>01083021101</x:v>
      </x:c>
      <x:c r="B620" s="132" t="str">
        <x:v>Limestone County</x:v>
      </x:c>
      <x:c r="C620" s="132" t="n">
        <x:v>0</x:v>
      </x:c>
      <x:c r="D620" s="134" t="n">
        <x:v>3408</x:v>
      </x:c>
      <x:c r="E620" s="133" t="n">
        <x:v>10.7</x:v>
      </x:c>
      <x:c r="F620" s="134" t="n">
        <x:v>3182</x:v>
      </x:c>
      <x:c r="G620" s="134" t="n">
        <x:v>0</x:v>
      </x:c>
      <x:c r="H620" s="134" t="n">
        <x:v>1</x:v>
      </x:c>
      <x:c r="I620" s="134" t="n">
        <x:v>1</x:v>
      </x:c>
      <x:c r="J620" s="133" t="n">
        <x:v>0.029342723004694836</x:v>
      </x:c>
      <x:c r="K620" s="133" t="n">
        <x:v>0.03142677561282212</x:v>
      </x:c>
      <x:c r="L620" s="133" t="n">
        <x:v>0</x:v>
      </x:c>
      <x:c r="M620" s="133" t="n">
        <x:v>0</x:v>
      </x:c>
      <x:c r="N620" s="133" t="n">
        <x:v>0</x:v>
      </x:c>
      <x:c r="O620" s="133" t="n">
        <x:v>0</x:v>
      </x:c>
      <x:c r="P620" s="132"/>
    </x:row>
    <x:row r="621">
      <x:c r="A621" s="136" t="str">
        <x:v>01097007600</x:v>
      </x:c>
      <x:c r="B621" s="132" t="str">
        <x:v>Mobile County</x:v>
      </x:c>
      <x:c r="C621" s="132" t="n">
        <x:v>1</x:v>
      </x:c>
      <x:c r="D621" s="134" t="n">
        <x:v>1972</x:v>
      </x:c>
      <x:c r="E621" s="133" t="n">
        <x:v>50</x:v>
      </x:c>
      <x:c r="F621" s="134" t="n">
        <x:v>457</x:v>
      </x:c>
      <x:c r="G621" s="134" t="n">
        <x:v>0</x:v>
      </x:c>
      <x:c r="H621" s="134" t="n">
        <x:v>3</x:v>
      </x:c>
      <x:c r="I621" s="134" t="n">
        <x:v>1</x:v>
      </x:c>
      <x:c r="J621" s="133" t="n">
        <x:v>0.15212981744421908</x:v>
      </x:c>
      <x:c r="K621" s="133" t="n">
        <x:v>0.2188183807439825</x:v>
      </x:c>
      <x:c r="L621" s="133" t="n">
        <x:v>0.2070393374741201</x:v>
      </x:c>
      <x:c r="M621" s="133" t="n">
        <x:v>0.2570694087403599</x:v>
      </x:c>
      <x:c r="N621" s="133" t="n">
        <x:v>0</x:v>
      </x:c>
      <x:c r="O621" s="133" t="n">
        <x:v>0</x:v>
      </x:c>
      <x:c r="P621" s="132"/>
    </x:row>
    <x:row r="622">
      <x:c r="A622" s="136" t="str">
        <x:v>01115040210</x:v>
      </x:c>
      <x:c r="B622" s="132" t="str">
        <x:v>St. Clair County</x:v>
      </x:c>
      <x:c r="C622" s="132" t="n">
        <x:v>0</x:v>
      </x:c>
      <x:c r="D622" s="134" t="n">
        <x:v>3585</x:v>
      </x:c>
      <x:c r="E622" s="133" t="n">
        <x:v>10.2</x:v>
      </x:c>
      <x:c r="F622" s="134" t="n">
        <x:v>2716</x:v>
      </x:c>
      <x:c r="G622" s="134" t="n">
        <x:v>0</x:v>
      </x:c>
      <x:c r="H622" s="134" t="n">
        <x:v>1</x:v>
      </x:c>
      <x:c r="I622" s="134" t="n">
        <x:v>1</x:v>
      </x:c>
      <x:c r="J622" s="133" t="n">
        <x:v>0.02789400278940028</x:v>
      </x:c>
      <x:c r="K622" s="133" t="n">
        <x:v>0.036818851251840944</x:v>
      </x:c>
      <x:c r="L622" s="133" t="n">
        <x:v>0</x:v>
      </x:c>
      <x:c r="M622" s="133" t="n">
        <x:v>0</x:v>
      </x:c>
      <x:c r="N622" s="133"/>
      <x:c r="O622" s="133" t="n">
        <x:v>0</x:v>
      </x:c>
      <x:c r="P622" s="132"/>
    </x:row>
    <x:row r="623">
      <x:c r="A623" s="136" t="str">
        <x:v>01121011502</x:v>
      </x:c>
      <x:c r="B623" s="132" t="str">
        <x:v>Talladega County</x:v>
      </x:c>
      <x:c r="C623" s="132" t="n">
        <x:v>0</x:v>
      </x:c>
      <x:c r="D623" s="134" t="n">
        <x:v>3036</x:v>
      </x:c>
      <x:c r="E623" s="133" t="n">
        <x:v>25.9</x:v>
      </x:c>
      <x:c r="F623" s="134" t="n">
        <x:v>1742</x:v>
      </x:c>
      <x:c r="G623" s="134" t="n">
        <x:v>0</x:v>
      </x:c>
      <x:c r="H623" s="134" t="n">
        <x:v>2</x:v>
      </x:c>
      <x:c r="I623" s="134" t="n">
        <x:v>1</x:v>
      </x:c>
      <x:c r="J623" s="133" t="n">
        <x:v>0.06587615283267458</x:v>
      </x:c>
      <x:c r="K623" s="133" t="n">
        <x:v>0.0574052812858783</x:v>
      </x:c>
      <x:c r="L623" s="133" t="n">
        <x:v>0</x:v>
      </x:c>
      <x:c r="M623" s="133" t="n">
        <x:v>0</x:v>
      </x:c>
      <x:c r="N623" s="133" t="n">
        <x:v>0</x:v>
      </x:c>
      <x:c r="O623" s="133" t="n">
        <x:v>0</x:v>
      </x:c>
      <x:c r="P623" s="132"/>
    </x:row>
    <x:row r="624">
      <x:c r="A624" s="136" t="str">
        <x:v>01123962301</x:v>
      </x:c>
      <x:c r="B624" s="132" t="str">
        <x:v>Tallapoosa County</x:v>
      </x:c>
      <x:c r="C624" s="132" t="n">
        <x:v>0</x:v>
      </x:c>
      <x:c r="D624" s="134" t="n">
        <x:v>2613</x:v>
      </x:c>
      <x:c r="E624" s="133" t="n">
        <x:v>35.4</x:v>
      </x:c>
      <x:c r="F624" s="134" t="n">
        <x:v>1314</x:v>
      </x:c>
      <x:c r="G624" s="134" t="n">
        <x:v>0</x:v>
      </x:c>
      <x:c r="H624" s="134" t="n">
        <x:v>2</x:v>
      </x:c>
      <x:c r="I624" s="134" t="n">
        <x:v>1</x:v>
      </x:c>
      <x:c r="J624" s="133" t="n">
        <x:v>0.07654037504783773</x:v>
      </x:c>
      <x:c r="K624" s="133" t="n">
        <x:v>0.076103500761035</x:v>
      </x:c>
      <x:c r="L624" s="133" t="n">
        <x:v>0</x:v>
      </x:c>
      <x:c r="M624" s="133" t="n">
        <x:v>0.1579778830963665</x:v>
      </x:c>
      <x:c r="N624" s="133" t="n">
        <x:v>0</x:v>
      </x:c>
      <x:c r="O624" s="133" t="n">
        <x:v>0</x:v>
      </x:c>
      <x:c r="P624" s="132"/>
    </x:row>
    <x:row r="625">
      <x:c r="A625" s="136" t="str">
        <x:v>01123962702</x:v>
      </x:c>
      <x:c r="B625" s="132" t="str">
        <x:v>Tallapoosa County</x:v>
      </x:c>
      <x:c r="C625" s="132" t="n">
        <x:v>0</x:v>
      </x:c>
      <x:c r="D625" s="134" t="n">
        <x:v>4037</x:v>
      </x:c>
      <x:c r="E625" s="133" t="n">
        <x:v>13.9</x:v>
      </x:c>
      <x:c r="F625" s="134" t="n">
        <x:v>2621</x:v>
      </x:c>
      <x:c r="G625" s="134" t="n">
        <x:v>0</x:v>
      </x:c>
      <x:c r="H625" s="134" t="n">
        <x:v>1</x:v>
      </x:c>
      <x:c r="I625" s="134" t="n">
        <x:v>1</x:v>
      </x:c>
      <x:c r="J625" s="133" t="n">
        <x:v>0.02477086945751796</x:v>
      </x:c>
      <x:c r="K625" s="133" t="n">
        <x:v>0.03815337657382678</x:v>
      </x:c>
      <x:c r="L625" s="133" t="n">
        <x:v>0</x:v>
      </x:c>
      <x:c r="M625" s="133" t="n">
        <x:v>0</x:v>
      </x:c>
      <x:c r="N625" s="133" t="n">
        <x:v>0</x:v>
      </x:c>
      <x:c r="O625" s="133" t="n">
        <x:v>0</x:v>
      </x:c>
      <x:c r="P625" s="132"/>
    </x:row>
    <x:row r="626">
      <x:c r="A626" s="136" t="str">
        <x:v>01133965503</x:v>
      </x:c>
      <x:c r="B626" s="132" t="str">
        <x:v>Winston County</x:v>
      </x:c>
      <x:c r="C626" s="132" t="n">
        <x:v>0</x:v>
      </x:c>
      <x:c r="D626" s="134" t="n">
        <x:v>2633</x:v>
      </x:c>
      <x:c r="E626" s="133" t="n">
        <x:v>22.1</x:v>
      </x:c>
      <x:c r="F626" s="134" t="n">
        <x:v>1491</x:v>
      </x:c>
      <x:c r="G626" s="134" t="n">
        <x:v>0</x:v>
      </x:c>
      <x:c r="H626" s="134" t="n">
        <x:v>2</x:v>
      </x:c>
      <x:c r="I626" s="134" t="n">
        <x:v>1</x:v>
      </x:c>
      <x:c r="J626" s="133" t="n">
        <x:v>0.0759589821496392</x:v>
      </x:c>
      <x:c r="K626" s="133" t="n">
        <x:v>0.0670690811535882</x:v>
      </x:c>
      <x:c r="L626" s="133" t="n">
        <x:v>0</x:v>
      </x:c>
      <x:c r="M626" s="133" t="n">
        <x:v>0</x:v>
      </x:c>
      <x:c r="N626" s="133" t="n">
        <x:v>0</x:v>
      </x:c>
      <x:c r="O626" s="133" t="n">
        <x:v>0</x:v>
      </x:c>
      <x:c r="P626" s="132"/>
    </x:row>
    <x:row r="627">
      <x:c r="A627" s="136" t="str">
        <x:v>01001020801</x:v>
      </x:c>
      <x:c r="B627" s="132" t="str">
        <x:v>Autauga County</x:v>
      </x:c>
      <x:c r="C627" s="132" t="n">
        <x:v>0</x:v>
      </x:c>
      <x:c r="D627" s="134" t="n">
        <x:v>3143</x:v>
      </x:c>
      <x:c r="E627" s="133" t="n">
        <x:v>7.4</x:v>
      </x:c>
      <x:c r="F627" s="134" t="n">
        <x:v>2696</x:v>
      </x:c>
      <x:c r="G627" s="134" t="n">
        <x:v>0</x:v>
      </x:c>
      <x:c r="H627" s="134" t="n">
        <x:v>2</x:v>
      </x:c>
      <x:c r="I627" s="134" t="n">
        <x:v>2</x:v>
      </x:c>
      <x:c r="J627" s="133" t="n">
        <x:v>0.06363347120585428</x:v>
      </x:c>
      <x:c r="K627" s="133" t="n">
        <x:v>0.07418397626112759</x:v>
      </x:c>
      <x:c r="L627" s="133" t="n">
        <x:v>0</x:v>
      </x:c>
      <x:c r="M627" s="133" t="n">
        <x:v>0</x:v>
      </x:c>
      <x:c r="N627" s="133"/>
      <x:c r="O627" s="133" t="n">
        <x:v>0</x:v>
      </x:c>
      <x:c r="P627" s="132"/>
    </x:row>
    <x:row r="628">
      <x:c r="A628" s="136" t="str">
        <x:v>01009050105</x:v>
      </x:c>
      <x:c r="B628" s="132" t="str">
        <x:v>Blount County</x:v>
      </x:c>
      <x:c r="C628" s="132" t="n">
        <x:v>0</x:v>
      </x:c>
      <x:c r="D628" s="134" t="n">
        <x:v>5525</x:v>
      </x:c>
      <x:c r="E628" s="133" t="n">
        <x:v>21.8</x:v>
      </x:c>
      <x:c r="F628" s="134" t="n">
        <x:v>3016</x:v>
      </x:c>
      <x:c r="G628" s="134" t="n">
        <x:v>0</x:v>
      </x:c>
      <x:c r="H628" s="134" t="n">
        <x:v>4</x:v>
      </x:c>
      <x:c r="I628" s="134" t="n">
        <x:v>2</x:v>
      </x:c>
      <x:c r="J628" s="133" t="n">
        <x:v>0.07239819004524888</x:v>
      </x:c>
      <x:c r="K628" s="133" t="n">
        <x:v>0.06631299734748011</x:v>
      </x:c>
      <x:c r="L628" s="133" t="n">
        <x:v>0.07905138339920949</x:v>
      </x:c>
      <x:c r="M628" s="133" t="n">
        <x:v>0.0723589001447178</x:v>
      </x:c>
      <x:c r="N628" s="133" t="n">
        <x:v>0</x:v>
      </x:c>
      <x:c r="O628" s="133" t="n">
        <x:v>0</x:v>
      </x:c>
      <x:c r="P628" s="132"/>
    </x:row>
    <x:row r="629">
      <x:c r="A629" s="136" t="str">
        <x:v>01021060702</x:v>
      </x:c>
      <x:c r="B629" s="132" t="str">
        <x:v>Chilton County</x:v>
      </x:c>
      <x:c r="C629" s="132" t="n">
        <x:v>0</x:v>
      </x:c>
      <x:c r="D629" s="134" t="n">
        <x:v>2634</x:v>
      </x:c>
      <x:c r="E629" s="133" t="n">
        <x:v>16.8</x:v>
      </x:c>
      <x:c r="F629" s="134" t="n">
        <x:v>1812</x:v>
      </x:c>
      <x:c r="G629" s="134" t="n">
        <x:v>0</x:v>
      </x:c>
      <x:c r="H629" s="134" t="n">
        <x:v>3</x:v>
      </x:c>
      <x:c r="I629" s="134" t="n">
        <x:v>2</x:v>
      </x:c>
      <x:c r="J629" s="133" t="n">
        <x:v>0.11389521640091116</x:v>
      </x:c>
      <x:c r="K629" s="133" t="n">
        <x:v>0.11037527593818984</x:v>
      </x:c>
      <x:c r="L629" s="133" t="n">
        <x:v>0.17667844522968199</x:v>
      </x:c>
      <x:c r="M629" s="133" t="n">
        <x:v>0.1941747572815534</x:v>
      </x:c>
      <x:c r="N629" s="133" t="n">
        <x:v>0</x:v>
      </x:c>
      <x:c r="O629" s="133" t="n">
        <x:v>0</x:v>
      </x:c>
      <x:c r="P629" s="132"/>
    </x:row>
    <x:row r="630">
      <x:c r="A630" s="136" t="str">
        <x:v>01025957603</x:v>
      </x:c>
      <x:c r="B630" s="132" t="str">
        <x:v>Clarke County</x:v>
      </x:c>
      <x:c r="C630" s="132" t="n">
        <x:v>0</x:v>
      </x:c>
      <x:c r="D630" s="134" t="n">
        <x:v>2111</x:v>
      </x:c>
      <x:c r="E630" s="133" t="n">
        <x:v>24.4</x:v>
      </x:c>
      <x:c r="F630" s="134" t="n">
        <x:v>1175</x:v>
      </x:c>
      <x:c r="G630" s="134" t="n">
        <x:v>0</x:v>
      </x:c>
      <x:c r="H630" s="134" t="n">
        <x:v>3</x:v>
      </x:c>
      <x:c r="I630" s="134" t="n">
        <x:v>2</x:v>
      </x:c>
      <x:c r="J630" s="133" t="n">
        <x:v>0.14211274277593558</x:v>
      </x:c>
      <x:c r="K630" s="133" t="n">
        <x:v>0.1702127659574468</x:v>
      </x:c>
      <x:c r="L630" s="133" t="n">
        <x:v>0.24813895781637718</x:v>
      </x:c>
      <x:c r="M630" s="133" t="n">
        <x:v>0.2222222222222222</x:v>
      </x:c>
      <x:c r="N630" s="133" t="n">
        <x:v>0</x:v>
      </x:c>
      <x:c r="O630" s="133" t="n">
        <x:v>0</x:v>
      </x:c>
      <x:c r="P630" s="132"/>
    </x:row>
    <x:row r="631">
      <x:c r="A631" s="136" t="str">
        <x:v>01055000600</x:v>
      </x:c>
      <x:c r="B631" s="132" t="str">
        <x:v>Etowah County</x:v>
      </x:c>
      <x:c r="C631" s="132" t="n">
        <x:v>1</x:v>
      </x:c>
      <x:c r="D631" s="134" t="n">
        <x:v>1813</x:v>
      </x:c>
      <x:c r="E631" s="133" t="n">
        <x:v>24.6</x:v>
      </x:c>
      <x:c r="F631" s="134" t="n">
        <x:v>366</x:v>
      </x:c>
      <x:c r="G631" s="134" t="n">
        <x:v>0</x:v>
      </x:c>
      <x:c r="H631" s="134" t="n">
        <x:v>8</x:v>
      </x:c>
      <x:c r="I631" s="134" t="n">
        <x:v>2</x:v>
      </x:c>
      <x:c r="J631" s="133" t="n">
        <x:v>0.441257584114727</x:v>
      </x:c>
      <x:c r="K631" s="133" t="n">
        <x:v>0.546448087431694</x:v>
      </x:c>
      <x:c r="L631" s="133" t="n">
        <x:v>0.4830917874396135</x:v>
      </x:c>
      <x:c r="M631" s="133" t="n">
        <x:v>0.3389830508474576</x:v>
      </x:c>
      <x:c r="N631" s="133" t="n">
        <x:v>0</x:v>
      </x:c>
      <x:c r="O631" s="133" t="n">
        <x:v>0.7194244604316546</x:v>
      </x:c>
      <x:c r="P631" s="132"/>
    </x:row>
    <x:row r="632">
      <x:c r="A632" s="136" t="str">
        <x:v>01055011200</x:v>
      </x:c>
      <x:c r="B632" s="132" t="str">
        <x:v>Etowah County</x:v>
      </x:c>
      <x:c r="C632" s="132" t="n">
        <x:v>1</x:v>
      </x:c>
      <x:c r="D632" s="134" t="n">
        <x:v>2703</x:v>
      </x:c>
      <x:c r="E632" s="133" t="n">
        <x:v>32.6</x:v>
      </x:c>
      <x:c r="F632" s="134" t="n">
        <x:v>750</x:v>
      </x:c>
      <x:c r="G632" s="134" t="n">
        <x:v>0</x:v>
      </x:c>
      <x:c r="H632" s="134" t="n">
        <x:v>6</x:v>
      </x:c>
      <x:c r="I632" s="134" t="n">
        <x:v>2</x:v>
      </x:c>
      <x:c r="J632" s="133" t="n">
        <x:v>0.22197558268590456</x:v>
      </x:c>
      <x:c r="K632" s="133" t="n">
        <x:v>0.26666666666666666</x:v>
      </x:c>
      <x:c r="L632" s="133" t="n">
        <x:v>0.273972602739726</x:v>
      </x:c>
      <x:c r="M632" s="133" t="n">
        <x:v>0.2915451895043732</x:v>
      </x:c>
      <x:c r="N632" s="133" t="n">
        <x:v>0</x:v>
      </x:c>
      <x:c r="O632" s="133" t="n">
        <x:v>0.22573363431151242</x:v>
      </x:c>
      <x:c r="P632" s="132"/>
    </x:row>
    <x:row r="633">
      <x:c r="A633" s="136" t="str">
        <x:v>01059973703</x:v>
      </x:c>
      <x:c r="B633" s="132" t="str">
        <x:v>Franklin County</x:v>
      </x:c>
      <x:c r="C633" s="132" t="n">
        <x:v>0</x:v>
      </x:c>
      <x:c r="D633" s="134" t="n">
        <x:v>3076</x:v>
      </x:c>
      <x:c r="E633" s="133" t="n">
        <x:v>19.7</x:v>
      </x:c>
      <x:c r="F633" s="134" t="n">
        <x:v>2039</x:v>
      </x:c>
      <x:c r="G633" s="134" t="n">
        <x:v>0</x:v>
      </x:c>
      <x:c r="H633" s="134" t="n">
        <x:v>3</x:v>
      </x:c>
      <x:c r="I633" s="134" t="n">
        <x:v>2</x:v>
      </x:c>
      <x:c r="J633" s="133" t="n">
        <x:v>0.09752925877763328</x:v>
      </x:c>
      <x:c r="K633" s="133" t="n">
        <x:v>0.0980872976949485</x:v>
      </x:c>
      <x:c r="L633" s="133" t="n">
        <x:v>0.14104372355430184</x:v>
      </x:c>
      <x:c r="M633" s="133" t="n">
        <x:v>0.18382352941176472</x:v>
      </x:c>
      <x:c r="N633" s="133" t="n">
        <x:v>0</x:v>
      </x:c>
      <x:c r="O633" s="133" t="n">
        <x:v>0</x:v>
      </x:c>
      <x:c r="P633" s="132"/>
    </x:row>
    <x:row r="634">
      <x:c r="A634" s="136" t="str">
        <x:v>01067030400</x:v>
      </x:c>
      <x:c r="B634" s="132" t="str">
        <x:v>Henry County</x:v>
      </x:c>
      <x:c r="C634" s="132" t="n">
        <x:v>0</x:v>
      </x:c>
      <x:c r="D634" s="134" t="n">
        <x:v>1796</x:v>
      </x:c>
      <x:c r="E634" s="133" t="n">
        <x:v>17.7</x:v>
      </x:c>
      <x:c r="F634" s="134" t="n">
        <x:v>1092</x:v>
      </x:c>
      <x:c r="G634" s="134" t="n">
        <x:v>0</x:v>
      </x:c>
      <x:c r="H634" s="134" t="n">
        <x:v>3</x:v>
      </x:c>
      <x:c r="I634" s="134" t="n">
        <x:v>2</x:v>
      </x:c>
      <x:c r="J634" s="133" t="n">
        <x:v>0.16703786191536749</x:v>
      </x:c>
      <x:c r="K634" s="133" t="n">
        <x:v>0.18315018315018314</x:v>
      </x:c>
      <x:c r="L634" s="133" t="n">
        <x:v>0.27100271002710025</x:v>
      </x:c>
      <x:c r="M634" s="133" t="n">
        <x:v>0.234192037470726</x:v>
      </x:c>
      <x:c r="N634" s="133" t="n">
        <x:v>0</x:v>
      </x:c>
      <x:c r="O634" s="133" t="n">
        <x:v>0</x:v>
      </x:c>
      <x:c r="P634" s="132"/>
    </x:row>
    <x:row r="635">
      <x:c r="A635" s="136" t="str">
        <x:v>01069040700</x:v>
      </x:c>
      <x:c r="B635" s="132" t="str">
        <x:v>Houston County</x:v>
      </x:c>
      <x:c r="C635" s="132" t="n">
        <x:v>1</x:v>
      </x:c>
      <x:c r="D635" s="134" t="n">
        <x:v>2638</x:v>
      </x:c>
      <x:c r="E635" s="133" t="n">
        <x:v>25.9</x:v>
      </x:c>
      <x:c r="F635" s="134" t="n">
        <x:v>1412</x:v>
      </x:c>
      <x:c r="G635" s="134" t="n">
        <x:v>0</x:v>
      </x:c>
      <x:c r="H635" s="134" t="n">
        <x:v>5</x:v>
      </x:c>
      <x:c r="I635" s="134" t="n">
        <x:v>2</x:v>
      </x:c>
      <x:c r="J635" s="133" t="n">
        <x:v>0.18953752843062927</x:v>
      </x:c>
      <x:c r="K635" s="133" t="n">
        <x:v>0.141643059490085</x:v>
      </x:c>
      <x:c r="L635" s="133" t="n">
        <x:v>0.1466275659824047</x:v>
      </x:c>
      <x:c r="M635" s="133" t="n">
        <x:v>0.25</x:v>
      </x:c>
      <x:c r="N635" s="133" t="n">
        <x:v>0</x:v>
      </x:c>
      <x:c r="O635" s="133" t="n">
        <x:v>0.28653295128939826</x:v>
      </x:c>
      <x:c r="P635" s="132"/>
    </x:row>
    <x:row r="636">
      <x:c r="A636" s="136" t="str">
        <x:v>01071950901</x:v>
      </x:c>
      <x:c r="B636" s="132" t="str">
        <x:v>Jackson County</x:v>
      </x:c>
      <x:c r="C636" s="132" t="n">
        <x:v>0</x:v>
      </x:c>
      <x:c r="D636" s="134" t="n">
        <x:v>1692</x:v>
      </x:c>
      <x:c r="E636" s="133" t="n">
        <x:v>5.8</x:v>
      </x:c>
      <x:c r="F636" s="134" t="n">
        <x:v>1242</x:v>
      </x:c>
      <x:c r="G636" s="134" t="n">
        <x:v>0</x:v>
      </x:c>
      <x:c r="H636" s="134" t="n">
        <x:v>2</x:v>
      </x:c>
      <x:c r="I636" s="134" t="n">
        <x:v>2</x:v>
      </x:c>
      <x:c r="J636" s="133" t="n">
        <x:v>0.1182033096926714</x:v>
      </x:c>
      <x:c r="K636" s="133" t="n">
        <x:v>0.1610305958132045</x:v>
      </x:c>
      <x:c r="L636" s="133" t="n">
        <x:v>0</x:v>
      </x:c>
      <x:c r="M636" s="133" t="n">
        <x:v>0</x:v>
      </x:c>
      <x:c r="N636" s="133" t="n">
        <x:v>0</x:v>
      </x:c>
      <x:c r="O636" s="133" t="n">
        <x:v>0</x:v>
      </x:c>
      <x:c r="P636" s="132"/>
    </x:row>
    <x:row r="637">
      <x:c r="A637" s="136" t="str">
        <x:v>01073001600</x:v>
      </x:c>
      <x:c r="B637" s="132" t="str">
        <x:v>Jefferson County</x:v>
      </x:c>
      <x:c r="C637" s="132" t="n">
        <x:v>1</x:v>
      </x:c>
      <x:c r="D637" s="134" t="n">
        <x:v>2661</x:v>
      </x:c>
      <x:c r="E637" s="133" t="n">
        <x:v>32.1</x:v>
      </x:c>
      <x:c r="F637" s="134" t="n">
        <x:v>686</x:v>
      </x:c>
      <x:c r="G637" s="134" t="n">
        <x:v>0</x:v>
      </x:c>
      <x:c r="H637" s="134" t="n">
        <x:v>8</x:v>
      </x:c>
      <x:c r="I637" s="134" t="n">
        <x:v>2</x:v>
      </x:c>
      <x:c r="J637" s="133" t="n">
        <x:v>0.3006388575723412</x:v>
      </x:c>
      <x:c r="K637" s="133" t="n">
        <x:v>0.2915451895043732</x:v>
      </x:c>
      <x:c r="L637" s="133" t="n">
        <x:v>0.2304147465437788</x:v>
      </x:c>
      <x:c r="M637" s="133" t="n">
        <x:v>0.3372681281618887</x:v>
      </x:c>
      <x:c r="N637" s="133" t="n">
        <x:v>0</x:v>
      </x:c>
      <x:c r="O637" s="133" t="n">
        <x:v>0.25380710659898476</x:v>
      </x:c>
      <x:c r="P637" s="132"/>
    </x:row>
    <x:row r="638">
      <x:c r="A638" s="136" t="str">
        <x:v>01073011206</x:v>
      </x:c>
      <x:c r="B638" s="132" t="str">
        <x:v>Jefferson County</x:v>
      </x:c>
      <x:c r="C638" s="132" t="n">
        <x:v>0</x:v>
      </x:c>
      <x:c r="D638" s="134" t="n">
        <x:v>5413</x:v>
      </x:c>
      <x:c r="E638" s="133" t="n">
        <x:v>1.2</x:v>
      </x:c>
      <x:c r="F638" s="134" t="n">
        <x:v>4965</x:v>
      </x:c>
      <x:c r="G638" s="134" t="n">
        <x:v>0</x:v>
      </x:c>
      <x:c r="H638" s="134" t="n">
        <x:v>2</x:v>
      </x:c>
      <x:c r="I638" s="134" t="n">
        <x:v>2</x:v>
      </x:c>
      <x:c r="J638" s="133" t="n">
        <x:v>0.03694808793644929</x:v>
      </x:c>
      <x:c r="K638" s="133" t="n">
        <x:v>0.04028197381671702</x:v>
      </x:c>
      <x:c r="L638" s="133" t="n">
        <x:v>0</x:v>
      </x:c>
      <x:c r="M638" s="133" t="n">
        <x:v>0</x:v>
      </x:c>
      <x:c r="N638" s="133" t="n">
        <x:v>0</x:v>
      </x:c>
      <x:c r="O638" s="133" t="n">
        <x:v>0</x:v>
      </x:c>
      <x:c r="P638" s="132"/>
    </x:row>
    <x:row r="639">
      <x:c r="A639" s="136" t="str">
        <x:v>01073014001</x:v>
      </x:c>
      <x:c r="B639" s="132" t="str">
        <x:v>Jefferson County</x:v>
      </x:c>
      <x:c r="C639" s="132" t="n">
        <x:v>0</x:v>
      </x:c>
      <x:c r="D639" s="134" t="n">
        <x:v>3864</x:v>
      </x:c>
      <x:c r="E639" s="133" t="n">
        <x:v>7.7</x:v>
      </x:c>
      <x:c r="F639" s="134" t="n">
        <x:v>2460</x:v>
      </x:c>
      <x:c r="G639" s="134" t="n">
        <x:v>0</x:v>
      </x:c>
      <x:c r="H639" s="134" t="n">
        <x:v>3</x:v>
      </x:c>
      <x:c r="I639" s="134" t="n">
        <x:v>2</x:v>
      </x:c>
      <x:c r="J639" s="133" t="n">
        <x:v>0.07763975155279502</x:v>
      </x:c>
      <x:c r="K639" s="133" t="n">
        <x:v>0.08130081300813008</x:v>
      </x:c>
      <x:c r="L639" s="133" t="n">
        <x:v>0.12531328320802004</x:v>
      </x:c>
      <x:c r="M639" s="133" t="n">
        <x:v>0.13245033112582782</x:v>
      </x:c>
      <x:c r="N639" s="133" t="n">
        <x:v>0</x:v>
      </x:c>
      <x:c r="O639" s="133" t="n">
        <x:v>0</x:v>
      </x:c>
      <x:c r="P639" s="132"/>
    </x:row>
    <x:row r="640">
      <x:c r="A640" s="136" t="str">
        <x:v>01077011503</x:v>
      </x:c>
      <x:c r="B640" s="132" t="str">
        <x:v>Lauderdale County</x:v>
      </x:c>
      <x:c r="C640" s="132" t="n">
        <x:v>0</x:v>
      </x:c>
      <x:c r="D640" s="134" t="n">
        <x:v>3013</x:v>
      </x:c>
      <x:c r="E640" s="133" t="n">
        <x:v>2.4</x:v>
      </x:c>
      <x:c r="F640" s="134" t="n">
        <x:v>2618</x:v>
      </x:c>
      <x:c r="G640" s="134" t="n">
        <x:v>0</x:v>
      </x:c>
      <x:c r="H640" s="134" t="n">
        <x:v>2</x:v>
      </x:c>
      <x:c r="I640" s="134" t="n">
        <x:v>2</x:v>
      </x:c>
      <x:c r="J640" s="133" t="n">
        <x:v>0.06637902422834384</x:v>
      </x:c>
      <x:c r="K640" s="133" t="n">
        <x:v>0.07639419404125286</x:v>
      </x:c>
      <x:c r="L640" s="133" t="n">
        <x:v>0</x:v>
      </x:c>
      <x:c r="M640" s="133" t="n">
        <x:v>0.1111111111111111</x:v>
      </x:c>
      <x:c r="N640" s="133" t="n">
        <x:v>0</x:v>
      </x:c>
      <x:c r="O640" s="133"/>
      <x:c r="P640" s="132"/>
    </x:row>
    <x:row r="641">
      <x:c r="A641" s="136" t="str">
        <x:v>01081041803</x:v>
      </x:c>
      <x:c r="B641" s="132" t="str">
        <x:v>Lee County</x:v>
      </x:c>
      <x:c r="C641" s="132" t="n">
        <x:v>0</x:v>
      </x:c>
      <x:c r="D641" s="134" t="n">
        <x:v>2649</x:v>
      </x:c>
      <x:c r="E641" s="133" t="n">
        <x:v>10.8</x:v>
      </x:c>
      <x:c r="F641" s="134" t="n">
        <x:v>2770</x:v>
      </x:c>
      <x:c r="G641" s="134" t="n">
        <x:v>0</x:v>
      </x:c>
      <x:c r="H641" s="134" t="n">
        <x:v>2</x:v>
      </x:c>
      <x:c r="I641" s="134" t="n">
        <x:v>2</x:v>
      </x:c>
      <x:c r="J641" s="133" t="n">
        <x:v>0.07550018875047187</x:v>
      </x:c>
      <x:c r="K641" s="133" t="n">
        <x:v>0.07220216606498195</x:v>
      </x:c>
      <x:c r="L641" s="133" t="n">
        <x:v>0</x:v>
      </x:c>
      <x:c r="M641" s="133" t="n">
        <x:v>0</x:v>
      </x:c>
      <x:c r="N641" s="133" t="n">
        <x:v>0</x:v>
      </x:c>
      <x:c r="O641" s="133" t="n">
        <x:v>0</x:v>
      </x:c>
      <x:c r="P641" s="132"/>
    </x:row>
    <x:row r="642">
      <x:c r="A642" s="136" t="str">
        <x:v>01083020404</x:v>
      </x:c>
      <x:c r="B642" s="132" t="str">
        <x:v>Limestone County</x:v>
      </x:c>
      <x:c r="C642" s="132" t="n">
        <x:v>0</x:v>
      </x:c>
      <x:c r="D642" s="134" t="n">
        <x:v>3047</x:v>
      </x:c>
      <x:c r="E642" s="133" t="n">
        <x:v>17.1</x:v>
      </x:c>
      <x:c r="F642" s="134" t="n">
        <x:v>2364</x:v>
      </x:c>
      <x:c r="G642" s="134" t="n">
        <x:v>0</x:v>
      </x:c>
      <x:c r="H642" s="134" t="n">
        <x:v>3</x:v>
      </x:c>
      <x:c r="I642" s="134" t="n">
        <x:v>2</x:v>
      </x:c>
      <x:c r="J642" s="133" t="n">
        <x:v>0.09845749917952085</x:v>
      </x:c>
      <x:c r="K642" s="133" t="n">
        <x:v>0.08460236886632826</x:v>
      </x:c>
      <x:c r="L642" s="133" t="n">
        <x:v>0.16583747927031509</x:v>
      </x:c>
      <x:c r="M642" s="133" t="n">
        <x:v>0.16501650165016502</x:v>
      </x:c>
      <x:c r="N642" s="133" t="n">
        <x:v>0</x:v>
      </x:c>
      <x:c r="O642" s="133" t="n">
        <x:v>0</x:v>
      </x:c>
      <x:c r="P642" s="132"/>
    </x:row>
    <x:row r="643">
      <x:c r="A643" s="136" t="str">
        <x:v>01097002502</x:v>
      </x:c>
      <x:c r="B643" s="132" t="str">
        <x:v>Mobile County</x:v>
      </x:c>
      <x:c r="C643" s="132" t="n">
        <x:v>1</x:v>
      </x:c>
      <x:c r="D643" s="134" t="n">
        <x:v>2542</x:v>
      </x:c>
      <x:c r="E643" s="133" t="n">
        <x:v>10.8</x:v>
      </x:c>
      <x:c r="F643" s="134" t="n">
        <x:v>1607</x:v>
      </x:c>
      <x:c r="G643" s="134" t="n">
        <x:v>0</x:v>
      </x:c>
      <x:c r="H643" s="134" t="n">
        <x:v>3</x:v>
      </x:c>
      <x:c r="I643" s="134" t="n">
        <x:v>2</x:v>
      </x:c>
      <x:c r="J643" s="133" t="n">
        <x:v>0.11801730920535011</x:v>
      </x:c>
      <x:c r="K643" s="133" t="n">
        <x:v>0.12445550715619166</x:v>
      </x:c>
      <x:c r="L643" s="133" t="n">
        <x:v>0.24875621890547264</x:v>
      </x:c>
      <x:c r="M643" s="133" t="n">
        <x:v>0.1430615164520744</x:v>
      </x:c>
      <x:c r="N643" s="133" t="n">
        <x:v>0</x:v>
      </x:c>
      <x:c r="O643" s="133" t="n">
        <x:v>0</x:v>
      </x:c>
      <x:c r="P643" s="132"/>
    </x:row>
    <x:row r="644">
      <x:c r="A644" s="136" t="str">
        <x:v>01097003607</x:v>
      </x:c>
      <x:c r="B644" s="132" t="str">
        <x:v>Mobile County</x:v>
      </x:c>
      <x:c r="C644" s="132" t="n">
        <x:v>1</x:v>
      </x:c>
      <x:c r="D644" s="134" t="n">
        <x:v>3662</x:v>
      </x:c>
      <x:c r="E644" s="133" t="n">
        <x:v>15</x:v>
      </x:c>
      <x:c r="F644" s="134" t="n">
        <x:v>1691</x:v>
      </x:c>
      <x:c r="G644" s="134" t="n">
        <x:v>0</x:v>
      </x:c>
      <x:c r="H644" s="134" t="n">
        <x:v>3</x:v>
      </x:c>
      <x:c r="I644" s="134" t="n">
        <x:v>2</x:v>
      </x:c>
      <x:c r="J644" s="133" t="n">
        <x:v>0.0819224467504096</x:v>
      </x:c>
      <x:c r="K644" s="133" t="n">
        <x:v>0.11827321111768184</x:v>
      </x:c>
      <x:c r="L644" s="133" t="n">
        <x:v>0.11890606420927467</x:v>
      </x:c>
      <x:c r="M644" s="133" t="n">
        <x:v>0</x:v>
      </x:c>
      <x:c r="N644" s="133" t="n">
        <x:v>0</x:v>
      </x:c>
      <x:c r="O644" s="133" t="n">
        <x:v>0</x:v>
      </x:c>
      <x:c r="P644" s="132"/>
    </x:row>
    <x:row r="645">
      <x:c r="A645" s="136" t="str">
        <x:v>01097007000</x:v>
      </x:c>
      <x:c r="B645" s="132" t="str">
        <x:v>Mobile County</x:v>
      </x:c>
      <x:c r="C645" s="132" t="n">
        <x:v>0</x:v>
      </x:c>
      <x:c r="D645" s="134" t="n">
        <x:v>4621</x:v>
      </x:c>
      <x:c r="E645" s="133" t="n">
        <x:v>14.4</x:v>
      </x:c>
      <x:c r="F645" s="134" t="n">
        <x:v>3405</x:v>
      </x:c>
      <x:c r="G645" s="134" t="n">
        <x:v>0</x:v>
      </x:c>
      <x:c r="H645" s="134" t="n">
        <x:v>2</x:v>
      </x:c>
      <x:c r="I645" s="134" t="n">
        <x:v>2</x:v>
      </x:c>
      <x:c r="J645" s="133" t="n">
        <x:v>0.04328067517853278</x:v>
      </x:c>
      <x:c r="K645" s="133" t="n">
        <x:v>0.05873715124816446</x:v>
      </x:c>
      <x:c r="L645" s="133" t="n">
        <x:v>0</x:v>
      </x:c>
      <x:c r="M645" s="133" t="n">
        <x:v>0</x:v>
      </x:c>
      <x:c r="N645" s="133" t="n">
        <x:v>0</x:v>
      </x:c>
      <x:c r="O645" s="133" t="n">
        <x:v>0</x:v>
      </x:c>
      <x:c r="P645" s="132"/>
    </x:row>
    <x:row r="646">
      <x:c r="A646" s="136" t="str">
        <x:v>01107050100</x:v>
      </x:c>
      <x:c r="B646" s="132" t="str">
        <x:v>Pickens County</x:v>
      </x:c>
      <x:c r="C646" s="132" t="n">
        <x:v>0</x:v>
      </x:c>
      <x:c r="D646" s="134" t="n">
        <x:v>3172</x:v>
      </x:c>
      <x:c r="E646" s="133" t="n">
        <x:v>28.8</x:v>
      </x:c>
      <x:c r="F646" s="134" t="n">
        <x:v>1653</x:v>
      </x:c>
      <x:c r="G646" s="134" t="n">
        <x:v>0</x:v>
      </x:c>
      <x:c r="H646" s="134" t="n">
        <x:v>4</x:v>
      </x:c>
      <x:c r="I646" s="134" t="n">
        <x:v>2</x:v>
      </x:c>
      <x:c r="J646" s="133" t="n">
        <x:v>0.12610340479192939</x:v>
      </x:c>
      <x:c r="K646" s="133" t="n">
        <x:v>0.12099213551119177</x:v>
      </x:c>
      <x:c r="L646" s="133" t="n">
        <x:v>0.1597444089456869</x:v>
      </x:c>
      <x:c r="M646" s="133" t="n">
        <x:v>0.13368983957219252</x:v>
      </x:c>
      <x:c r="N646" s="133" t="n">
        <x:v>0</x:v>
      </x:c>
      <x:c r="O646" s="133" t="n">
        <x:v>0</x:v>
      </x:c>
      <x:c r="P646" s="132"/>
    </x:row>
    <x:row r="647">
      <x:c r="A647" s="136" t="str">
        <x:v>01111000300</x:v>
      </x:c>
      <x:c r="B647" s="132" t="str">
        <x:v>Randolph County</x:v>
      </x:c>
      <x:c r="C647" s="132" t="n">
        <x:v>0</x:v>
      </x:c>
      <x:c r="D647" s="134" t="n">
        <x:v>4090</x:v>
      </x:c>
      <x:c r="E647" s="133" t="n">
        <x:v>14</x:v>
      </x:c>
      <x:c r="F647" s="134" t="n">
        <x:v>3014</x:v>
      </x:c>
      <x:c r="G647" s="134" t="n">
        <x:v>0</x:v>
      </x:c>
      <x:c r="H647" s="134" t="n">
        <x:v>3</x:v>
      </x:c>
      <x:c r="I647" s="134" t="n">
        <x:v>2</x:v>
      </x:c>
      <x:c r="J647" s="133" t="n">
        <x:v>0.07334963325183375</x:v>
      </x:c>
      <x:c r="K647" s="133" t="n">
        <x:v>0.06635700066357</x:v>
      </x:c>
      <x:c r="L647" s="133" t="n">
        <x:v>0.13717421124828533</x:v>
      </x:c>
      <x:c r="M647" s="133" t="n">
        <x:v>0.09442870632672333</x:v>
      </x:c>
      <x:c r="N647" s="133" t="n">
        <x:v>0</x:v>
      </x:c>
      <x:c r="O647" s="133" t="n">
        <x:v>0</x:v>
      </x:c>
      <x:c r="P647" s="132"/>
    </x:row>
    <x:row r="648">
      <x:c r="A648" s="136" t="str">
        <x:v>01115040206</x:v>
      </x:c>
      <x:c r="B648" s="132" t="str">
        <x:v>St. Clair County</x:v>
      </x:c>
      <x:c r="C648" s="132" t="n">
        <x:v>0</x:v>
      </x:c>
      <x:c r="D648" s="134" t="n">
        <x:v>2772</x:v>
      </x:c>
      <x:c r="E648" s="133" t="n">
        <x:v>9.5</x:v>
      </x:c>
      <x:c r="F648" s="134" t="n">
        <x:v>2415</x:v>
      </x:c>
      <x:c r="G648" s="134" t="n">
        <x:v>0</x:v>
      </x:c>
      <x:c r="H648" s="134" t="n">
        <x:v>3</x:v>
      </x:c>
      <x:c r="I648" s="134" t="n">
        <x:v>2</x:v>
      </x:c>
      <x:c r="J648" s="133" t="n">
        <x:v>0.10822510822510822</x:v>
      </x:c>
      <x:c r="K648" s="133" t="n">
        <x:v>0.08281573498964803</x:v>
      </x:c>
      <x:c r="L648" s="133" t="n">
        <x:v>0.1736111111111111</x:v>
      </x:c>
      <x:c r="M648" s="133" t="n">
        <x:v>0</x:v>
      </x:c>
      <x:c r="N648" s="133" t="n">
        <x:v>0</x:v>
      </x:c>
      <x:c r="O648" s="133" t="n">
        <x:v>0</x:v>
      </x:c>
      <x:c r="P648" s="132"/>
    </x:row>
    <x:row r="649">
      <x:c r="A649" s="136" t="str">
        <x:v>01115040207</x:v>
      </x:c>
      <x:c r="B649" s="132" t="str">
        <x:v>St. Clair County</x:v>
      </x:c>
      <x:c r="C649" s="132" t="n">
        <x:v>0</x:v>
      </x:c>
      <x:c r="D649" s="134" t="n">
        <x:v>3381</x:v>
      </x:c>
      <x:c r="E649" s="133" t="n">
        <x:v>14.7</x:v>
      </x:c>
      <x:c r="F649" s="134" t="n">
        <x:v>1912</x:v>
      </x:c>
      <x:c r="G649" s="134" t="n">
        <x:v>0</x:v>
      </x:c>
      <x:c r="H649" s="134" t="n">
        <x:v>3</x:v>
      </x:c>
      <x:c r="I649" s="134" t="n">
        <x:v>2</x:v>
      </x:c>
      <x:c r="J649" s="133" t="n">
        <x:v>0.08873114463176575</x:v>
      </x:c>
      <x:c r="K649" s="133" t="n">
        <x:v>0.10460251046025104</x:v>
      </x:c>
      <x:c r="L649" s="133" t="n">
        <x:v>0.129366106080207</x:v>
      </x:c>
      <x:c r="M649" s="133" t="n">
        <x:v>0.136986301369863</x:v>
      </x:c>
      <x:c r="N649" s="133" t="n">
        <x:v>0</x:v>
      </x:c>
      <x:c r="O649" s="133" t="n">
        <x:v>0</x:v>
      </x:c>
      <x:c r="P649" s="132"/>
    </x:row>
    <x:row r="650">
      <x:c r="A650" s="136" t="str">
        <x:v>01125010104</x:v>
      </x:c>
      <x:c r="B650" s="132" t="str">
        <x:v>Tuscaloosa County</x:v>
      </x:c>
      <x:c r="C650" s="132" t="n">
        <x:v>0</x:v>
      </x:c>
      <x:c r="D650" s="134" t="n">
        <x:v>3716</x:v>
      </x:c>
      <x:c r="E650" s="133" t="n">
        <x:v>12.3</x:v>
      </x:c>
      <x:c r="F650" s="134" t="n">
        <x:v>2409</x:v>
      </x:c>
      <x:c r="G650" s="134" t="n">
        <x:v>0</x:v>
      </x:c>
      <x:c r="H650" s="134" t="n">
        <x:v>4</x:v>
      </x:c>
      <x:c r="I650" s="134" t="n">
        <x:v>2</x:v>
      </x:c>
      <x:c r="J650" s="133" t="n">
        <x:v>0.10764262648008611</x:v>
      </x:c>
      <x:c r="K650" s="133" t="n">
        <x:v>0.08302200083022</x:v>
      </x:c>
      <x:c r="L650" s="133" t="n">
        <x:v>0.11049723756906077</x:v>
      </x:c>
      <x:c r="M650" s="133" t="n">
        <x:v>0.18050541516245489</x:v>
      </x:c>
      <x:c r="N650" s="133"/>
      <x:c r="O650" s="133" t="n">
        <x:v>0</x:v>
      </x:c>
      <x:c r="P650" s="132"/>
    </x:row>
    <x:row r="651">
      <x:c r="A651" s="136" t="str">
        <x:v>01015002600</x:v>
      </x:c>
      <x:c r="B651" s="132" t="str">
        <x:v>Calhoun County</x:v>
      </x:c>
      <x:c r="C651" s="132" t="n">
        <x:v>0</x:v>
      </x:c>
      <x:c r="D651" s="134" t="n">
        <x:v>4664</x:v>
      </x:c>
      <x:c r="E651" s="133" t="n">
        <x:v>13</x:v>
      </x:c>
      <x:c r="F651" s="134" t="n">
        <x:v>2983</x:v>
      </x:c>
      <x:c r="G651" s="134" t="n">
        <x:v>0</x:v>
      </x:c>
      <x:c r="H651" s="134" t="n">
        <x:v>4</x:v>
      </x:c>
      <x:c r="I651" s="134" t="n">
        <x:v>3</x:v>
      </x:c>
      <x:c r="J651" s="133" t="n">
        <x:v>0.08576329331046312</x:v>
      </x:c>
      <x:c r="K651" s="133" t="n">
        <x:v>0.10056989607777406</x:v>
      </x:c>
      <x:c r="L651" s="133" t="n">
        <x:v>0.10277492291880781</x:v>
      </x:c>
      <x:c r="M651" s="133" t="n">
        <x:v>0.1122334455667789</x:v>
      </x:c>
      <x:c r="N651" s="133" t="n">
        <x:v>0</x:v>
      </x:c>
      <x:c r="O651" s="133" t="n">
        <x:v>0</x:v>
      </x:c>
      <x:c r="P651" s="132"/>
    </x:row>
    <x:row r="652">
      <x:c r="A652" s="136" t="str">
        <x:v>01017953900</x:v>
      </x:c>
      <x:c r="B652" s="132" t="str">
        <x:v>Chambers County</x:v>
      </x:c>
      <x:c r="C652" s="132" t="n">
        <x:v>0</x:v>
      </x:c>
      <x:c r="D652" s="134" t="n">
        <x:v>3292</x:v>
      </x:c>
      <x:c r="E652" s="133" t="n">
        <x:v>25.4</x:v>
      </x:c>
      <x:c r="F652" s="134" t="n">
        <x:v>1442</x:v>
      </x:c>
      <x:c r="G652" s="134" t="n">
        <x:v>0</x:v>
      </x:c>
      <x:c r="H652" s="134" t="n">
        <x:v>8</x:v>
      </x:c>
      <x:c r="I652" s="134" t="n">
        <x:v>3</x:v>
      </x:c>
      <x:c r="J652" s="133" t="n">
        <x:v>0.24301336573511542</x:v>
      </x:c>
      <x:c r="K652" s="133" t="n">
        <x:v>0.20804438280166435</x:v>
      </x:c>
      <x:c r="L652" s="133" t="n">
        <x:v>0.2881844380403458</x:v>
      </x:c>
      <x:c r="M652" s="133" t="n">
        <x:v>0.2949852507374631</x:v>
      </x:c>
      <x:c r="N652" s="133" t="n">
        <x:v>0</x:v>
      </x:c>
      <x:c r="O652" s="133" t="n">
        <x:v>0</x:v>
      </x:c>
      <x:c r="P652" s="132"/>
    </x:row>
    <x:row r="653">
      <x:c r="A653" s="136" t="str">
        <x:v>01019956102</x:v>
      </x:c>
      <x:c r="B653" s="132" t="str">
        <x:v>Cherokee County</x:v>
      </x:c>
      <x:c r="C653" s="132" t="n">
        <x:v>0</x:v>
      </x:c>
      <x:c r="D653" s="134" t="n">
        <x:v>2578</x:v>
      </x:c>
      <x:c r="E653" s="133" t="n">
        <x:v>17.7</x:v>
      </x:c>
      <x:c r="F653" s="134" t="n">
        <x:v>1375</x:v>
      </x:c>
      <x:c r="G653" s="134" t="n">
        <x:v>0</x:v>
      </x:c>
      <x:c r="H653" s="134" t="n">
        <x:v>5</x:v>
      </x:c>
      <x:c r="I653" s="134" t="n">
        <x:v>3</x:v>
      </x:c>
      <x:c r="J653" s="133" t="n">
        <x:v>0.1939487975174554</x:v>
      </x:c>
      <x:c r="K653" s="133" t="n">
        <x:v>0.21818181818181817</x:v>
      </x:c>
      <x:c r="L653" s="133" t="n">
        <x:v>0.22371364653243847</x:v>
      </x:c>
      <x:c r="M653" s="133" t="n">
        <x:v>0.1594896331738437</x:v>
      </x:c>
      <x:c r="N653" s="133" t="n">
        <x:v>0</x:v>
      </x:c>
      <x:c r="O653" s="133" t="n">
        <x:v>0</x:v>
      </x:c>
      <x:c r="P653" s="132"/>
    </x:row>
    <x:row r="654">
      <x:c r="A654" s="136" t="str">
        <x:v>01025957604</x:v>
      </x:c>
      <x:c r="B654" s="132" t="str">
        <x:v>Clarke County</x:v>
      </x:c>
      <x:c r="C654" s="132" t="n">
        <x:v>0</x:v>
      </x:c>
      <x:c r="D654" s="134" t="n">
        <x:v>2688</x:v>
      </x:c>
      <x:c r="E654" s="133" t="n">
        <x:v>15.9</x:v>
      </x:c>
      <x:c r="F654" s="134" t="n">
        <x:v>1287</x:v>
      </x:c>
      <x:c r="G654" s="134" t="n">
        <x:v>0</x:v>
      </x:c>
      <x:c r="H654" s="134" t="n">
        <x:v>7</x:v>
      </x:c>
      <x:c r="I654" s="134" t="n">
        <x:v>3</x:v>
      </x:c>
      <x:c r="J654" s="133" t="n">
        <x:v>0.2604166666666667</x:v>
      </x:c>
      <x:c r="K654" s="133" t="n">
        <x:v>0.2331002331002331</x:v>
      </x:c>
      <x:c r="L654" s="133" t="n">
        <x:v>0.3184713375796178</x:v>
      </x:c>
      <x:c r="M654" s="133" t="n">
        <x:v>0.33557046979865773</x:v>
      </x:c>
      <x:c r="N654" s="133" t="n">
        <x:v>0</x:v>
      </x:c>
      <x:c r="O654" s="133" t="n">
        <x:v>0</x:v>
      </x:c>
      <x:c r="P654" s="132"/>
    </x:row>
    <x:row r="655">
      <x:c r="A655" s="136" t="str">
        <x:v>01043965402</x:v>
      </x:c>
      <x:c r="B655" s="132" t="str">
        <x:v>Cullman County</x:v>
      </x:c>
      <x:c r="C655" s="132" t="n">
        <x:v>0</x:v>
      </x:c>
      <x:c r="D655" s="134" t="n">
        <x:v>4556</x:v>
      </x:c>
      <x:c r="E655" s="133" t="n">
        <x:v>12.8</x:v>
      </x:c>
      <x:c r="F655" s="134" t="n">
        <x:v>2586</x:v>
      </x:c>
      <x:c r="G655" s="134" t="n">
        <x:v>0</x:v>
      </x:c>
      <x:c r="H655" s="134" t="n">
        <x:v>5</x:v>
      </x:c>
      <x:c r="I655" s="134" t="n">
        <x:v>3</x:v>
      </x:c>
      <x:c r="J655" s="133" t="n">
        <x:v>0.10974539069359086</x:v>
      </x:c>
      <x:c r="K655" s="133" t="n">
        <x:v>0.11600928074245939</x:v>
      </x:c>
      <x:c r="L655" s="133" t="n">
        <x:v>0.09578544061302682</x:v>
      </x:c>
      <x:c r="M655" s="133" t="n">
        <x:v>0.12594458438287154</x:v>
      </x:c>
      <x:c r="N655" s="133" t="n">
        <x:v>0</x:v>
      </x:c>
      <x:c r="O655" s="133" t="n">
        <x:v>0</x:v>
      </x:c>
      <x:c r="P655" s="132"/>
    </x:row>
    <x:row r="656">
      <x:c r="A656" s="136" t="str">
        <x:v>01043965600</x:v>
      </x:c>
      <x:c r="B656" s="132" t="str">
        <x:v>Cullman County</x:v>
      </x:c>
      <x:c r="C656" s="132" t="n">
        <x:v>0</x:v>
      </x:c>
      <x:c r="D656" s="134" t="n">
        <x:v>2455</x:v>
      </x:c>
      <x:c r="E656" s="133" t="n">
        <x:v>11.1</x:v>
      </x:c>
      <x:c r="F656" s="134" t="n">
        <x:v>1900</x:v>
      </x:c>
      <x:c r="G656" s="134" t="n">
        <x:v>0</x:v>
      </x:c>
      <x:c r="H656" s="134" t="n">
        <x:v>4</x:v>
      </x:c>
      <x:c r="I656" s="134" t="n">
        <x:v>3</x:v>
      </x:c>
      <x:c r="J656" s="133" t="n">
        <x:v>0.1629327902240326</x:v>
      </x:c>
      <x:c r="K656" s="133" t="n">
        <x:v>0.15789473684210525</x:v>
      </x:c>
      <x:c r="L656" s="133" t="n">
        <x:v>0.2375296912114014</x:v>
      </x:c>
      <x:c r="M656" s="133" t="n">
        <x:v>0.1488095238095238</x:v>
      </x:c>
      <x:c r="N656" s="133" t="n">
        <x:v>0</x:v>
      </x:c>
      <x:c r="O656" s="133" t="n">
        <x:v>0</x:v>
      </x:c>
      <x:c r="P656" s="132"/>
    </x:row>
    <x:row r="657">
      <x:c r="A657" s="136" t="str">
        <x:v>01045020200</x:v>
      </x:c>
      <x:c r="B657" s="132" t="str">
        <x:v>Dale County</x:v>
      </x:c>
      <x:c r="C657" s="132" t="n">
        <x:v>0</x:v>
      </x:c>
      <x:c r="D657" s="134" t="n">
        <x:v>2186</x:v>
      </x:c>
      <x:c r="E657" s="133" t="n">
        <x:v>10.6</x:v>
      </x:c>
      <x:c r="F657" s="134" t="n">
        <x:v>1546</x:v>
      </x:c>
      <x:c r="G657" s="134" t="n">
        <x:v>0</x:v>
      </x:c>
      <x:c r="H657" s="134" t="n">
        <x:v>4</x:v>
      </x:c>
      <x:c r="I657" s="134" t="n">
        <x:v>3</x:v>
      </x:c>
      <x:c r="J657" s="133" t="n">
        <x:v>0.18298261665141813</x:v>
      </x:c>
      <x:c r="K657" s="133" t="n">
        <x:v>0.19404915912031048</x:v>
      </x:c>
      <x:c r="L657" s="133" t="n">
        <x:v>0.21231422505307856</x:v>
      </x:c>
      <x:c r="M657" s="133" t="n">
        <x:v>0.2109704641350211</x:v>
      </x:c>
      <x:c r="N657" s="133" t="n">
        <x:v>0</x:v>
      </x:c>
      <x:c r="O657" s="133" t="n">
        <x:v>0</x:v>
      </x:c>
      <x:c r="P657" s="132"/>
    </x:row>
    <x:row r="658">
      <x:c r="A658" s="136" t="str">
        <x:v>01053970300</x:v>
      </x:c>
      <x:c r="B658" s="132" t="str">
        <x:v>Escambia County</x:v>
      </x:c>
      <x:c r="C658" s="132" t="n">
        <x:v>0</x:v>
      </x:c>
      <x:c r="D658" s="134" t="n">
        <x:v>3748</x:v>
      </x:c>
      <x:c r="E658" s="133" t="n">
        <x:v>22.7</x:v>
      </x:c>
      <x:c r="F658" s="134" t="n">
        <x:v>1741</x:v>
      </x:c>
      <x:c r="G658" s="134" t="n">
        <x:v>0</x:v>
      </x:c>
      <x:c r="H658" s="134" t="n">
        <x:v>6</x:v>
      </x:c>
      <x:c r="I658" s="134" t="n">
        <x:v>3</x:v>
      </x:c>
      <x:c r="J658" s="133" t="n">
        <x:v>0.16008537886872998</x:v>
      </x:c>
      <x:c r="K658" s="133" t="n">
        <x:v>0.1723147616312464</x:v>
      </x:c>
      <x:c r="L658" s="133" t="n">
        <x:v>0.2205071664829107</x:v>
      </x:c>
      <x:c r="M658" s="133" t="n">
        <x:v>0.14492753623188406</x:v>
      </x:c>
      <x:c r="N658" s="133" t="n">
        <x:v>0</x:v>
      </x:c>
      <x:c r="O658" s="133" t="n">
        <x:v>0</x:v>
      </x:c>
      <x:c r="P658" s="132"/>
    </x:row>
    <x:row r="659">
      <x:c r="A659" s="136" t="str">
        <x:v>01061050100</x:v>
      </x:c>
      <x:c r="B659" s="132" t="str">
        <x:v>Geneva County</x:v>
      </x:c>
      <x:c r="C659" s="132" t="n">
        <x:v>0</x:v>
      </x:c>
      <x:c r="D659" s="134" t="n">
        <x:v>4890</x:v>
      </x:c>
      <x:c r="E659" s="133" t="n">
        <x:v>19.5</x:v>
      </x:c>
      <x:c r="F659" s="134" t="n">
        <x:v>2535</x:v>
      </x:c>
      <x:c r="G659" s="134" t="n">
        <x:v>0</x:v>
      </x:c>
      <x:c r="H659" s="134" t="n">
        <x:v>7</x:v>
      </x:c>
      <x:c r="I659" s="134" t="n">
        <x:v>3</x:v>
      </x:c>
      <x:c r="J659" s="133" t="n">
        <x:v>0.14314928425357873</x:v>
      </x:c>
      <x:c r="K659" s="133" t="n">
        <x:v>0.11834319526627218</x:v>
      </x:c>
      <x:c r="L659" s="133" t="n">
        <x:v>0.1763668430335097</x:v>
      </x:c>
      <x:c r="M659" s="133" t="n">
        <x:v>0.09569377990430622</x:v>
      </x:c>
      <x:c r="N659" s="133" t="n">
        <x:v>0</x:v>
      </x:c>
      <x:c r="O659" s="133" t="n">
        <x:v>0.24330900243309003</x:v>
      </x:c>
      <x:c r="P659" s="132"/>
    </x:row>
    <x:row r="660">
      <x:c r="A660" s="136" t="str">
        <x:v>01061050400</x:v>
      </x:c>
      <x:c r="B660" s="132" t="str">
        <x:v>Geneva County</x:v>
      </x:c>
      <x:c r="C660" s="132" t="n">
        <x:v>0</x:v>
      </x:c>
      <x:c r="D660" s="134" t="n">
        <x:v>6004</x:v>
      </x:c>
      <x:c r="E660" s="133" t="n">
        <x:v>10.6</x:v>
      </x:c>
      <x:c r="F660" s="134" t="n">
        <x:v>3451</x:v>
      </x:c>
      <x:c r="G660" s="134" t="n">
        <x:v>0</x:v>
      </x:c>
      <x:c r="H660" s="134" t="n">
        <x:v>4</x:v>
      </x:c>
      <x:c r="I660" s="134" t="n">
        <x:v>3</x:v>
      </x:c>
      <x:c r="J660" s="133" t="n">
        <x:v>0.06662225183211193</x:v>
      </x:c>
      <x:c r="K660" s="133" t="n">
        <x:v>0.08693132425383947</x:v>
      </x:c>
      <x:c r="L660" s="133" t="n">
        <x:v>0.07733952049497293</x:v>
      </x:c>
      <x:c r="M660" s="133" t="n">
        <x:v>0.07698229407236336</x:v>
      </x:c>
      <x:c r="N660" s="133" t="n">
        <x:v>0</x:v>
      </x:c>
      <x:c r="O660" s="133" t="n">
        <x:v>0</x:v>
      </x:c>
      <x:c r="P660" s="132"/>
    </x:row>
    <x:row r="661">
      <x:c r="A661" s="136" t="str">
        <x:v>01069042000</x:v>
      </x:c>
      <x:c r="B661" s="132" t="str">
        <x:v>Houston County</x:v>
      </x:c>
      <x:c r="C661" s="132" t="n">
        <x:v>0</x:v>
      </x:c>
      <x:c r="D661" s="134" t="n">
        <x:v>5197</x:v>
      </x:c>
      <x:c r="E661" s="133" t="n">
        <x:v>20.7</x:v>
      </x:c>
      <x:c r="F661" s="134" t="n">
        <x:v>2975</x:v>
      </x:c>
      <x:c r="G661" s="134" t="n">
        <x:v>0</x:v>
      </x:c>
      <x:c r="H661" s="134" t="n">
        <x:v>5</x:v>
      </x:c>
      <x:c r="I661" s="134" t="n">
        <x:v>3</x:v>
      </x:c>
      <x:c r="J661" s="133" t="n">
        <x:v>0.09620935154897056</x:v>
      </x:c>
      <x:c r="K661" s="133" t="n">
        <x:v>0.10084033613445378</x:v>
      </x:c>
      <x:c r="L661" s="133" t="n">
        <x:v>0.09727626459143969</x:v>
      </x:c>
      <x:c r="M661" s="133" t="n">
        <x:v>0.08620689655172414</x:v>
      </x:c>
      <x:c r="N661" s="133" t="n">
        <x:v>0</x:v>
      </x:c>
      <x:c r="O661" s="133" t="n">
        <x:v>0</x:v>
      </x:c>
      <x:c r="P661" s="132"/>
    </x:row>
    <x:row r="662">
      <x:c r="A662" s="136" t="str">
        <x:v>01073001500</x:v>
      </x:c>
      <x:c r="B662" s="132" t="str">
        <x:v>Jefferson County</x:v>
      </x:c>
      <x:c r="C662" s="132" t="n">
        <x:v>1</x:v>
      </x:c>
      <x:c r="D662" s="134" t="n">
        <x:v>2452</x:v>
      </x:c>
      <x:c r="E662" s="133" t="n">
        <x:v>21.6</x:v>
      </x:c>
      <x:c r="F662" s="134" t="n">
        <x:v>832</x:v>
      </x:c>
      <x:c r="G662" s="134" t="n">
        <x:v>0</x:v>
      </x:c>
      <x:c r="H662" s="134" t="n">
        <x:v>10</x:v>
      </x:c>
      <x:c r="I662" s="134" t="n">
        <x:v>3</x:v>
      </x:c>
      <x:c r="J662" s="133" t="n">
        <x:v>0.4078303425774878</x:v>
      </x:c>
      <x:c r="K662" s="133" t="n">
        <x:v>0.3605769230769231</x:v>
      </x:c>
      <x:c r="L662" s="133" t="n">
        <x:v>0.449438202247191</x:v>
      </x:c>
      <x:c r="M662" s="133" t="n">
        <x:v>0.5305039787798409</x:v>
      </x:c>
      <x:c r="N662" s="133" t="n">
        <x:v>0.45454545454545453</x:v>
      </x:c>
      <x:c r="O662" s="133" t="n">
        <x:v>0.27548209366391185</x:v>
      </x:c>
      <x:c r="P662" s="132"/>
    </x:row>
    <x:row r="663">
      <x:c r="A663" s="136" t="str">
        <x:v>01073003300</x:v>
      </x:c>
      <x:c r="B663" s="132" t="str">
        <x:v>Jefferson County</x:v>
      </x:c>
      <x:c r="C663" s="132" t="n">
        <x:v>1</x:v>
      </x:c>
      <x:c r="D663" s="134" t="n">
        <x:v>754</x:v>
      </x:c>
      <x:c r="E663" s="133" t="n">
        <x:v>14.8</x:v>
      </x:c>
      <x:c r="F663" s="134" t="n">
        <x:v>409</x:v>
      </x:c>
      <x:c r="G663" s="134" t="n">
        <x:v>0</x:v>
      </x:c>
      <x:c r="H663" s="134" t="n">
        <x:v>6</x:v>
      </x:c>
      <x:c r="I663" s="134" t="n">
        <x:v>3</x:v>
      </x:c>
      <x:c r="J663" s="133" t="n">
        <x:v>0.7957559681697612</x:v>
      </x:c>
      <x:c r="K663" s="133" t="n">
        <x:v>0.7334963325183375</x:v>
      </x:c>
      <x:c r="L663" s="133" t="n">
        <x:v>0.625</x:v>
      </x:c>
      <x:c r="M663" s="133" t="n">
        <x:v>0.704225352112676</x:v>
      </x:c>
      <x:c r="N663" s="133" t="n">
        <x:v>0.9615384615384616</x:v>
      </x:c>
      <x:c r="O663" s="133" t="n">
        <x:v>0</x:v>
      </x:c>
      <x:c r="P663" s="132"/>
    </x:row>
    <x:row r="664">
      <x:c r="A664" s="136" t="str">
        <x:v>01073010200</x:v>
      </x:c>
      <x:c r="B664" s="132" t="str">
        <x:v>Jefferson County</x:v>
      </x:c>
      <x:c r="C664" s="132" t="n">
        <x:v>1</x:v>
      </x:c>
      <x:c r="D664" s="134" t="n">
        <x:v>2285</x:v>
      </x:c>
      <x:c r="E664" s="133" t="n">
        <x:v>36.7</x:v>
      </x:c>
      <x:c r="F664" s="134" t="n">
        <x:v>875</x:v>
      </x:c>
      <x:c r="G664" s="134" t="n">
        <x:v>0</x:v>
      </x:c>
      <x:c r="H664" s="134" t="n">
        <x:v>9</x:v>
      </x:c>
      <x:c r="I664" s="134" t="n">
        <x:v>3</x:v>
      </x:c>
      <x:c r="J664" s="133" t="n">
        <x:v>0.3938730853391685</x:v>
      </x:c>
      <x:c r="K664" s="133" t="n">
        <x:v>0.34285714285714286</x:v>
      </x:c>
      <x:c r="L664" s="133" t="n">
        <x:v>0.4024144869215292</x:v>
      </x:c>
      <x:c r="M664" s="133" t="n">
        <x:v>0.2849002849002849</x:v>
      </x:c>
      <x:c r="N664" s="133" t="n">
        <x:v>0</x:v>
      </x:c>
      <x:c r="O664" s="133" t="n">
        <x:v>0.2785515320334262</x:v>
      </x:c>
      <x:c r="P664" s="132"/>
    </x:row>
    <x:row r="665">
      <x:c r="A665" s="136" t="str">
        <x:v>01073011402</x:v>
      </x:c>
      <x:c r="B665" s="132" t="str">
        <x:v>Jefferson County</x:v>
      </x:c>
      <x:c r="C665" s="132" t="n">
        <x:v>0</x:v>
      </x:c>
      <x:c r="D665" s="134" t="n">
        <x:v>4178</x:v>
      </x:c>
      <x:c r="E665" s="133" t="n">
        <x:v>6.4</x:v>
      </x:c>
      <x:c r="F665" s="134" t="n">
        <x:v>3268</x:v>
      </x:c>
      <x:c r="G665" s="134" t="n">
        <x:v>0</x:v>
      </x:c>
      <x:c r="H665" s="134" t="n">
        <x:v>4</x:v>
      </x:c>
      <x:c r="I665" s="134" t="n">
        <x:v>3</x:v>
      </x:c>
      <x:c r="J665" s="133" t="n">
        <x:v>0.09573958831977022</x:v>
      </x:c>
      <x:c r="K665" s="133" t="n">
        <x:v>0.09179926560587515</x:v>
      </x:c>
      <x:c r="L665" s="133" t="n">
        <x:v>0.09950248756218906</x:v>
      </x:c>
      <x:c r="M665" s="133" t="n">
        <x:v>0.13440860215053763</x:v>
      </x:c>
      <x:c r="N665" s="133" t="n">
        <x:v>0</x:v>
      </x:c>
      <x:c r="O665" s="133" t="n">
        <x:v>0</x:v>
      </x:c>
      <x:c r="P665" s="132"/>
    </x:row>
    <x:row r="666">
      <x:c r="A666" s="136" t="str">
        <x:v>01087231500</x:v>
      </x:c>
      <x:c r="B666" s="132" t="str">
        <x:v>Macon County</x:v>
      </x:c>
      <x:c r="C666" s="132" t="n">
        <x:v>0</x:v>
      </x:c>
      <x:c r="D666" s="134" t="n">
        <x:v>3054</x:v>
      </x:c>
      <x:c r="E666" s="133" t="n">
        <x:v>32.6</x:v>
      </x:c>
      <x:c r="F666" s="134" t="n">
        <x:v>1056</x:v>
      </x:c>
      <x:c r="G666" s="134" t="n">
        <x:v>0</x:v>
      </x:c>
      <x:c r="H666" s="134" t="n">
        <x:v>10</x:v>
      </x:c>
      <x:c r="I666" s="134" t="n">
        <x:v>3</x:v>
      </x:c>
      <x:c r="J666" s="133" t="n">
        <x:v>0.3274394237066143</x:v>
      </x:c>
      <x:c r="K666" s="133" t="n">
        <x:v>0.2840909090909091</x:v>
      </x:c>
      <x:c r="L666" s="133" t="n">
        <x:v>0.32310177705977383</x:v>
      </x:c>
      <x:c r="M666" s="133" t="n">
        <x:v>0.3115264797507788</x:v>
      </x:c>
      <x:c r="N666" s="133" t="n">
        <x:v>0</x:v>
      </x:c>
      <x:c r="O666" s="133" t="n">
        <x:v>0.3436426116838488</x:v>
      </x:c>
      <x:c r="P666" s="132"/>
    </x:row>
    <x:row r="667">
      <x:c r="A667" s="136" t="str">
        <x:v>01089000701</x:v>
      </x:c>
      <x:c r="B667" s="132" t="str">
        <x:v>Madison County</x:v>
      </x:c>
      <x:c r="C667" s="132" t="n">
        <x:v>1</x:v>
      </x:c>
      <x:c r="D667" s="134" t="n">
        <x:v>3167</x:v>
      </x:c>
      <x:c r="E667" s="133" t="n">
        <x:v>29</x:v>
      </x:c>
      <x:c r="F667" s="134" t="n">
        <x:v>1453</x:v>
      </x:c>
      <x:c r="G667" s="134" t="n">
        <x:v>0</x:v>
      </x:c>
      <x:c r="H667" s="134" t="n">
        <x:v>6</x:v>
      </x:c>
      <x:c r="I667" s="134" t="n">
        <x:v>3</x:v>
      </x:c>
      <x:c r="J667" s="133" t="n">
        <x:v>0.1894537417113988</x:v>
      </x:c>
      <x:c r="K667" s="133" t="n">
        <x:v>0.20646937370956642</x:v>
      </x:c>
      <x:c r="L667" s="133" t="n">
        <x:v>0.24271844660194175</x:v>
      </x:c>
      <x:c r="M667" s="133" t="n">
        <x:v>0.2364066193853428</x:v>
      </x:c>
      <x:c r="N667" s="133" t="n">
        <x:v>0</x:v>
      </x:c>
      <x:c r="O667" s="133" t="n">
        <x:v>0.27472527472527475</x:v>
      </x:c>
      <x:c r="P667" s="132"/>
    </x:row>
    <x:row r="668">
      <x:c r="A668" s="136" t="str">
        <x:v>01097006304</x:v>
      </x:c>
      <x:c r="B668" s="132" t="str">
        <x:v>Mobile County</x:v>
      </x:c>
      <x:c r="C668" s="132" t="n">
        <x:v>0</x:v>
      </x:c>
      <x:c r="D668" s="134" t="n">
        <x:v>4462</x:v>
      </x:c>
      <x:c r="E668" s="133" t="n">
        <x:v>9.9</x:v>
      </x:c>
      <x:c r="F668" s="134" t="n">
        <x:v>2775</x:v>
      </x:c>
      <x:c r="G668" s="134" t="n">
        <x:v>0</x:v>
      </x:c>
      <x:c r="H668" s="134" t="n">
        <x:v>5</x:v>
      </x:c>
      <x:c r="I668" s="134" t="n">
        <x:v>3</x:v>
      </x:c>
      <x:c r="J668" s="133" t="n">
        <x:v>0.11205737337516809</x:v>
      </x:c>
      <x:c r="K668" s="133" t="n">
        <x:v>0.10810810810810811</x:v>
      </x:c>
      <x:c r="L668" s="133" t="n">
        <x:v>0.08417508417508418</x:v>
      </x:c>
      <x:c r="M668" s="133" t="n">
        <x:v>0.17543859649122806</x:v>
      </x:c>
      <x:c r="N668" s="133" t="n">
        <x:v>0</x:v>
      </x:c>
      <x:c r="O668" s="133" t="n">
        <x:v>0</x:v>
      </x:c>
      <x:c r="P668" s="132"/>
    </x:row>
    <x:row r="669">
      <x:c r="A669" s="136" t="str">
        <x:v>01097006600</x:v>
      </x:c>
      <x:c r="B669" s="132" t="str">
        <x:v>Mobile County</x:v>
      </x:c>
      <x:c r="C669" s="132" t="n">
        <x:v>0</x:v>
      </x:c>
      <x:c r="D669" s="134" t="n">
        <x:v>5294</x:v>
      </x:c>
      <x:c r="E669" s="133" t="n">
        <x:v>9.6</x:v>
      </x:c>
      <x:c r="F669" s="134" t="n">
        <x:v>3110</x:v>
      </x:c>
      <x:c r="G669" s="134" t="n">
        <x:v>0</x:v>
      </x:c>
      <x:c r="H669" s="134" t="n">
        <x:v>5</x:v>
      </x:c>
      <x:c r="I669" s="134" t="n">
        <x:v>3</x:v>
      </x:c>
      <x:c r="J669" s="133" t="n">
        <x:v>0.09444654325651682</x:v>
      </x:c>
      <x:c r="K669" s="133" t="n">
        <x:v>0.09646302250803858</x:v>
      </x:c>
      <x:c r="L669" s="133" t="n">
        <x:v>0.08077544426494346</x:v>
      </x:c>
      <x:c r="M669" s="133" t="n">
        <x:v>0.10020040080160321</x:v>
      </x:c>
      <x:c r="N669" s="133" t="n">
        <x:v>0</x:v>
      </x:c>
      <x:c r="O669" s="133" t="n">
        <x:v>0</x:v>
      </x:c>
      <x:c r="P669" s="132"/>
    </x:row>
    <x:row r="670">
      <x:c r="A670" s="136" t="str">
        <x:v>01113031000</x:v>
      </x:c>
      <x:c r="B670" s="132" t="str">
        <x:v>Russell County</x:v>
      </x:c>
      <x:c r="C670" s="132" t="n">
        <x:v>0</x:v>
      </x:c>
      <x:c r="D670" s="134" t="n">
        <x:v>3857</x:v>
      </x:c>
      <x:c r="E670" s="133" t="n">
        <x:v>7.4</x:v>
      </x:c>
      <x:c r="F670" s="134" t="n">
        <x:v>2771</x:v>
      </x:c>
      <x:c r="G670" s="134" t="n">
        <x:v>0</x:v>
      </x:c>
      <x:c r="H670" s="134" t="n">
        <x:v>4</x:v>
      </x:c>
      <x:c r="I670" s="134" t="n">
        <x:v>3</x:v>
      </x:c>
      <x:c r="J670" s="133" t="n">
        <x:v>0.10370754472387866</x:v>
      </x:c>
      <x:c r="K670" s="133" t="n">
        <x:v>0.10826416456153014</x:v>
      </x:c>
      <x:c r="L670" s="133" t="n">
        <x:v>0.13315579227696406</x:v>
      </x:c>
      <x:c r="M670" s="133" t="n">
        <x:v>0.11961722488038277</x:v>
      </x:c>
      <x:c r="N670" s="133" t="n">
        <x:v>0</x:v>
      </x:c>
      <x:c r="O670" s="133" t="n">
        <x:v>0</x:v>
      </x:c>
      <x:c r="P670" s="132"/>
    </x:row>
    <x:row r="671">
      <x:c r="A671" s="136" t="str">
        <x:v>01115040508</x:v>
      </x:c>
      <x:c r="B671" s="132" t="str">
        <x:v>St. Clair County</x:v>
      </x:c>
      <x:c r="C671" s="132" t="n">
        <x:v>0</x:v>
      </x:c>
      <x:c r="D671" s="134" t="n">
        <x:v>1857</x:v>
      </x:c>
      <x:c r="E671" s="133" t="n">
        <x:v>25.5</x:v>
      </x:c>
      <x:c r="F671" s="134" t="n">
        <x:v>838</x:v>
      </x:c>
      <x:c r="G671" s="134" t="n">
        <x:v>0</x:v>
      </x:c>
      <x:c r="H671" s="134" t="n">
        <x:v>7</x:v>
      </x:c>
      <x:c r="I671" s="134" t="n">
        <x:v>3</x:v>
      </x:c>
      <x:c r="J671" s="133" t="n">
        <x:v>0.3769520732364028</x:v>
      </x:c>
      <x:c r="K671" s="133" t="n">
        <x:v>0.35799522673031026</x:v>
      </x:c>
      <x:c r="L671" s="133" t="n">
        <x:v>0.42105263157894735</x:v>
      </x:c>
      <x:c r="M671" s="133" t="n">
        <x:v>0.3663003663003663</x:v>
      </x:c>
      <x:c r="N671" s="133" t="n">
        <x:v>0</x:v>
      </x:c>
      <x:c r="O671" s="133" t="n">
        <x:v>0.6993006993006993</x:v>
      </x:c>
      <x:c r="P671" s="132"/>
    </x:row>
    <x:row r="672">
      <x:c r="A672" s="136" t="str">
        <x:v>01117030348</x:v>
      </x:c>
      <x:c r="B672" s="132" t="str">
        <x:v>Shelby County</x:v>
      </x:c>
      <x:c r="C672" s="132" t="n">
        <x:v>0</x:v>
      </x:c>
      <x:c r="D672" s="134" t="n">
        <x:v>4763</x:v>
      </x:c>
      <x:c r="E672" s="133" t="n">
        <x:v>6.4</x:v>
      </x:c>
      <x:c r="F672" s="134" t="n">
        <x:v>4616</x:v>
      </x:c>
      <x:c r="G672" s="134" t="n">
        <x:v>0</x:v>
      </x:c>
      <x:c r="H672" s="134" t="n">
        <x:v>3</x:v>
      </x:c>
      <x:c r="I672" s="134" t="n">
        <x:v>3</x:v>
      </x:c>
      <x:c r="J672" s="133" t="n">
        <x:v>0.06298551333193365</x:v>
      </x:c>
      <x:c r="K672" s="133" t="n">
        <x:v>0.06499133448873484</x:v>
      </x:c>
      <x:c r="L672" s="133" t="n">
        <x:v>0.08787346221441125</x:v>
      </x:c>
      <x:c r="M672" s="133" t="n">
        <x:v>0</x:v>
      </x:c>
      <x:c r="N672" s="133" t="n">
        <x:v>0</x:v>
      </x:c>
      <x:c r="O672" s="133" t="n">
        <x:v>0</x:v>
      </x:c>
      <x:c r="P672" s="132"/>
    </x:row>
    <x:row r="673">
      <x:c r="A673" s="136" t="str">
        <x:v>01117030704</x:v>
      </x:c>
      <x:c r="B673" s="132" t="str">
        <x:v>Shelby County</x:v>
      </x:c>
      <x:c r="C673" s="132" t="n">
        <x:v>0</x:v>
      </x:c>
      <x:c r="D673" s="134" t="n">
        <x:v>3875</x:v>
      </x:c>
      <x:c r="E673" s="133" t="n">
        <x:v>17.1</x:v>
      </x:c>
      <x:c r="F673" s="134" t="n">
        <x:v>2701</x:v>
      </x:c>
      <x:c r="G673" s="134" t="n">
        <x:v>0</x:v>
      </x:c>
      <x:c r="H673" s="134" t="n">
        <x:v>4</x:v>
      </x:c>
      <x:c r="I673" s="134" t="n">
        <x:v>3</x:v>
      </x:c>
      <x:c r="J673" s="133" t="n">
        <x:v>0.1032258064516129</x:v>
      </x:c>
      <x:c r="K673" s="133" t="n">
        <x:v>0.11106997408367271</x:v>
      </x:c>
      <x:c r="L673" s="133" t="n">
        <x:v>0.15151515151515152</x:v>
      </x:c>
      <x:c r="M673" s="133" t="n">
        <x:v>0.10683760683760683</x:v>
      </x:c>
      <x:c r="N673" s="133" t="n">
        <x:v>0</x:v>
      </x:c>
      <x:c r="O673" s="133" t="n">
        <x:v>0</x:v>
      </x:c>
      <x:c r="P673" s="132"/>
    </x:row>
    <x:row r="674">
      <x:c r="A674" s="136" t="str">
        <x:v>01117030800</x:v>
      </x:c>
      <x:c r="B674" s="132" t="str">
        <x:v>Shelby County</x:v>
      </x:c>
      <x:c r="C674" s="132" t="n">
        <x:v>0</x:v>
      </x:c>
      <x:c r="D674" s="134" t="n">
        <x:v>4235</x:v>
      </x:c>
      <x:c r="E674" s="133" t="n">
        <x:v>10.5</x:v>
      </x:c>
      <x:c r="F674" s="134" t="n">
        <x:v>3464</x:v>
      </x:c>
      <x:c r="G674" s="134" t="n">
        <x:v>0</x:v>
      </x:c>
      <x:c r="H674" s="134" t="n">
        <x:v>4</x:v>
      </x:c>
      <x:c r="I674" s="134" t="n">
        <x:v>3</x:v>
      </x:c>
      <x:c r="J674" s="133" t="n">
        <x:v>0.09445100354191263</x:v>
      </x:c>
      <x:c r="K674" s="133" t="n">
        <x:v>0.08660508083140878</x:v>
      </x:c>
      <x:c r="L674" s="133" t="n">
        <x:v>0.11261261261261261</x:v>
      </x:c>
      <x:c r="M674" s="133" t="n">
        <x:v>0.11261261261261261</x:v>
      </x:c>
      <x:c r="N674" s="133" t="n">
        <x:v>0</x:v>
      </x:c>
      <x:c r="O674" s="133" t="n">
        <x:v>0</x:v>
      </x:c>
      <x:c r="P674" s="132"/>
    </x:row>
    <x:row r="675">
      <x:c r="A675" s="136" t="str">
        <x:v>01121010201</x:v>
      </x:c>
      <x:c r="B675" s="132" t="str">
        <x:v>Talladega County</x:v>
      </x:c>
      <x:c r="C675" s="132" t="n">
        <x:v>0</x:v>
      </x:c>
      <x:c r="D675" s="134" t="n">
        <x:v>3996</x:v>
      </x:c>
      <x:c r="E675" s="133" t="n">
        <x:v>11.8</x:v>
      </x:c>
      <x:c r="F675" s="134" t="n">
        <x:v>2943</x:v>
      </x:c>
      <x:c r="G675" s="134" t="n">
        <x:v>0</x:v>
      </x:c>
      <x:c r="H675" s="134" t="n">
        <x:v>4</x:v>
      </x:c>
      <x:c r="I675" s="134" t="n">
        <x:v>3</x:v>
      </x:c>
      <x:c r="J675" s="133" t="n">
        <x:v>0.1001001001001001</x:v>
      </x:c>
      <x:c r="K675" s="133" t="n">
        <x:v>0.1019367991845056</x:v>
      </x:c>
      <x:c r="L675" s="133" t="n">
        <x:v>0.10718113612004287</x:v>
      </x:c>
      <x:c r="M675" s="133" t="n">
        <x:v>0.16638935108153077</x:v>
      </x:c>
      <x:c r="N675" s="133" t="n">
        <x:v>0</x:v>
      </x:c>
      <x:c r="O675" s="133" t="n">
        <x:v>0</x:v>
      </x:c>
      <x:c r="P675" s="132"/>
    </x:row>
    <x:row r="676">
      <x:c r="A676" s="136" t="str">
        <x:v>01123962501</x:v>
      </x:c>
      <x:c r="B676" s="132" t="str">
        <x:v>Tallapoosa County</x:v>
      </x:c>
      <x:c r="C676" s="132" t="n">
        <x:v>0</x:v>
      </x:c>
      <x:c r="D676" s="134" t="n">
        <x:v>4285</x:v>
      </x:c>
      <x:c r="E676" s="133" t="n">
        <x:v>10.6</x:v>
      </x:c>
      <x:c r="F676" s="134" t="n">
        <x:v>3190</x:v>
      </x:c>
      <x:c r="G676" s="134" t="n">
        <x:v>0</x:v>
      </x:c>
      <x:c r="H676" s="134" t="n">
        <x:v>4</x:v>
      </x:c>
      <x:c r="I676" s="134" t="n">
        <x:v>3</x:v>
      </x:c>
      <x:c r="J676" s="133" t="n">
        <x:v>0.09334889148191365</x:v>
      </x:c>
      <x:c r="K676" s="133" t="n">
        <x:v>0.09404388714733543</x:v>
      </x:c>
      <x:c r="L676" s="133" t="n">
        <x:v>0.1564945226917058</x:v>
      </x:c>
      <x:c r="M676" s="133" t="n">
        <x:v>0.08163265306122448</x:v>
      </x:c>
      <x:c r="N676" s="133" t="n">
        <x:v>0</x:v>
      </x:c>
      <x:c r="O676" s="133" t="n">
        <x:v>0</x:v>
      </x:c>
      <x:c r="P676" s="132"/>
    </x:row>
    <x:row r="677">
      <x:c r="A677" s="136" t="str">
        <x:v>01125011600</x:v>
      </x:c>
      <x:c r="B677" s="132" t="str">
        <x:v>Tuscaloosa County</x:v>
      </x:c>
      <x:c r="C677" s="132" t="n">
        <x:v>1</x:v>
      </x:c>
      <x:c r="D677" s="134" t="n">
        <x:v>3341</x:v>
      </x:c>
      <x:c r="E677" s="133" t="n">
        <x:v>24.8</x:v>
      </x:c>
      <x:c r="F677" s="134" t="n">
        <x:v>1711</x:v>
      </x:c>
      <x:c r="G677" s="134" t="n">
        <x:v>0</x:v>
      </x:c>
      <x:c r="H677" s="134" t="n">
        <x:v>6</x:v>
      </x:c>
      <x:c r="I677" s="134" t="n">
        <x:v>3</x:v>
      </x:c>
      <x:c r="J677" s="133" t="n">
        <x:v>0.17958695001496558</x:v>
      </x:c>
      <x:c r="K677" s="133" t="n">
        <x:v>0.17533606078316774</x:v>
      </x:c>
      <x:c r="L677" s="133" t="n">
        <x:v>0.3021148036253776</x:v>
      </x:c>
      <x:c r="M677" s="133" t="n">
        <x:v>0.3058103975535168</x:v>
      </x:c>
      <x:c r="N677" s="133" t="n">
        <x:v>0</x:v>
      </x:c>
      <x:c r="O677" s="133" t="n">
        <x:v>0</x:v>
      </x:c>
      <x:c r="P677" s="132"/>
    </x:row>
    <x:row r="678">
      <x:c r="A678" s="136" t="str">
        <x:v>01133965800</x:v>
      </x:c>
      <x:c r="B678" s="132" t="str">
        <x:v>Winston County</x:v>
      </x:c>
      <x:c r="C678" s="132" t="n">
        <x:v>0</x:v>
      </x:c>
      <x:c r="D678" s="134" t="n">
        <x:v>4057</x:v>
      </x:c>
      <x:c r="E678" s="133" t="n">
        <x:v>17.3</x:v>
      </x:c>
      <x:c r="F678" s="134" t="n">
        <x:v>1868</x:v>
      </x:c>
      <x:c r="G678" s="134" t="n">
        <x:v>0</x:v>
      </x:c>
      <x:c r="H678" s="134" t="n">
        <x:v>7</x:v>
      </x:c>
      <x:c r="I678" s="134" t="n">
        <x:v>3</x:v>
      </x:c>
      <x:c r="J678" s="133" t="n">
        <x:v>0.1725412866650234</x:v>
      </x:c>
      <x:c r="K678" s="133" t="n">
        <x:v>0.16059957173447537</x:v>
      </x:c>
      <x:c r="L678" s="133" t="n">
        <x:v>0.2229654403567447</x:v>
      </x:c>
      <x:c r="M678" s="133" t="n">
        <x:v>0.13333333333333333</x:v>
      </x:c>
      <x:c r="N678" s="133" t="n">
        <x:v>0</x:v>
      </x:c>
      <x:c r="O678" s="133" t="n">
        <x:v>0</x:v>
      </x:c>
      <x:c r="P678" s="132"/>
    </x:row>
    <x:row r="679">
      <x:c r="A679" s="136" t="str">
        <x:v>01003011601</x:v>
      </x:c>
      <x:c r="B679" s="132" t="str">
        <x:v>Baldwin County</x:v>
      </x:c>
      <x:c r="C679" s="132" t="n">
        <x:v>0</x:v>
      </x:c>
      <x:c r="D679" s="134" t="n">
        <x:v>7517</x:v>
      </x:c>
      <x:c r="E679" s="133" t="n">
        <x:v>14.4</x:v>
      </x:c>
      <x:c r="F679" s="134" t="n">
        <x:v>4445</x:v>
      </x:c>
      <x:c r="G679" s="134" t="n">
        <x:v>0</x:v>
      </x:c>
      <x:c r="H679" s="134" t="n">
        <x:v>7</x:v>
      </x:c>
      <x:c r="I679" s="134" t="n">
        <x:v>4</x:v>
      </x:c>
      <x:c r="J679" s="133" t="n">
        <x:v>0.0931222562192364</x:v>
      </x:c>
      <x:c r="K679" s="133" t="n">
        <x:v>0.08998875140607424</x:v>
      </x:c>
      <x:c r="L679" s="133" t="n">
        <x:v>0.12330456226880394</x:v>
      </x:c>
      <x:c r="M679" s="133" t="n">
        <x:v>0.06402048655569782</x:v>
      </x:c>
      <x:c r="N679" s="133" t="n">
        <x:v>0</x:v>
      </x:c>
      <x:c r="O679" s="133" t="n">
        <x:v>0</x:v>
      </x:c>
      <x:c r="P679" s="132"/>
    </x:row>
    <x:row r="680">
      <x:c r="A680" s="136" t="str">
        <x:v>01007010009</x:v>
      </x:c>
      <x:c r="B680" s="132" t="str">
        <x:v>Bibb County</x:v>
      </x:c>
      <x:c r="C680" s="132" t="n">
        <x:v>0</x:v>
      </x:c>
      <x:c r="D680" s="134" t="n">
        <x:v>2475</x:v>
      </x:c>
      <x:c r="E680" s="133" t="n">
        <x:v>57.5</x:v>
      </x:c>
      <x:c r="F680" s="134" t="n">
        <x:v>782</x:v>
      </x:c>
      <x:c r="G680" s="134" t="n">
        <x:v>0</x:v>
      </x:c>
      <x:c r="H680" s="134" t="n">
        <x:v>11</x:v>
      </x:c>
      <x:c r="I680" s="134" t="n">
        <x:v>4</x:v>
      </x:c>
      <x:c r="J680" s="133" t="n">
        <x:v>0.4444444444444444</x:v>
      </x:c>
      <x:c r="K680" s="133" t="n">
        <x:v>0.5115089514066496</x:v>
      </x:c>
      <x:c r="L680" s="133" t="n">
        <x:v>0.5172413793103449</x:v>
      </x:c>
      <x:c r="M680" s="133" t="n">
        <x:v>0.3105590062111801</x:v>
      </x:c>
      <x:c r="N680" s="133" t="n">
        <x:v>0.819672131147541</x:v>
      </x:c>
      <x:c r="O680" s="133" t="n">
        <x:v>0.449438202247191</x:v>
      </x:c>
      <x:c r="P680" s="132"/>
    </x:row>
    <x:row r="681">
      <x:c r="A681" s="136" t="str">
        <x:v>01013953300</x:v>
      </x:c>
      <x:c r="B681" s="132" t="str">
        <x:v>Butler County</x:v>
      </x:c>
      <x:c r="C681" s="132" t="n">
        <x:v>0</x:v>
      </x:c>
      <x:c r="D681" s="134" t="n">
        <x:v>1712</x:v>
      </x:c>
      <x:c r="E681" s="133" t="n">
        <x:v>22.6</x:v>
      </x:c>
      <x:c r="F681" s="134" t="n">
        <x:v>833</x:v>
      </x:c>
      <x:c r="G681" s="134" t="n">
        <x:v>0</x:v>
      </x:c>
      <x:c r="H681" s="134" t="n">
        <x:v>8</x:v>
      </x:c>
      <x:c r="I681" s="134" t="n">
        <x:v>4</x:v>
      </x:c>
      <x:c r="J681" s="133" t="n">
        <x:v>0.4672897196261682</x:v>
      </x:c>
      <x:c r="K681" s="133" t="n">
        <x:v>0.4801920768307323</x:v>
      </x:c>
      <x:c r="L681" s="133" t="n">
        <x:v>0.6472491909385113</x:v>
      </x:c>
      <x:c r="M681" s="133" t="n">
        <x:v>0.4366812227074236</x:v>
      </x:c>
      <x:c r="N681" s="133" t="n">
        <x:v>0</x:v>
      </x:c>
      <x:c r="O681" s="133" t="n">
        <x:v>0.7142857142857143</x:v>
      </x:c>
      <x:c r="P681" s="132"/>
    </x:row>
    <x:row r="682">
      <x:c r="A682" s="136" t="str">
        <x:v>01015002002</x:v>
      </x:c>
      <x:c r="B682" s="132" t="str">
        <x:v>Calhoun County</x:v>
      </x:c>
      <x:c r="C682" s="132" t="n">
        <x:v>0</x:v>
      </x:c>
      <x:c r="D682" s="134" t="n">
        <x:v>4763</x:v>
      </x:c>
      <x:c r="E682" s="133" t="n">
        <x:v>7.1</x:v>
      </x:c>
      <x:c r="F682" s="134" t="n">
        <x:v>3587</x:v>
      </x:c>
      <x:c r="G682" s="134" t="n">
        <x:v>0</x:v>
      </x:c>
      <x:c r="H682" s="134" t="n">
        <x:v>5</x:v>
      </x:c>
      <x:c r="I682" s="134" t="n">
        <x:v>4</x:v>
      </x:c>
      <x:c r="J682" s="133" t="n">
        <x:v>0.10497585555322275</x:v>
      </x:c>
      <x:c r="K682" s="133" t="n">
        <x:v>0.1115137998327293</x:v>
      </x:c>
      <x:c r="L682" s="133" t="n">
        <x:v>0.08503401360544217</x:v>
      </x:c>
      <x:c r="M682" s="133" t="n">
        <x:v>0.12836970474967907</x:v>
      </x:c>
      <x:c r="N682" s="133" t="n">
        <x:v>0</x:v>
      </x:c>
      <x:c r="O682" s="133" t="n">
        <x:v>0</x:v>
      </x:c>
      <x:c r="P682" s="132"/>
    </x:row>
    <x:row r="683">
      <x:c r="A683" s="136" t="str">
        <x:v>01021060500</x:v>
      </x:c>
      <x:c r="B683" s="132" t="str">
        <x:v>Chilton County</x:v>
      </x:c>
      <x:c r="C683" s="132" t="n">
        <x:v>0</x:v>
      </x:c>
      <x:c r="D683" s="134" t="n">
        <x:v>2995</x:v>
      </x:c>
      <x:c r="E683" s="133" t="n">
        <x:v>19.8</x:v>
      </x:c>
      <x:c r="F683" s="134" t="n">
        <x:v>2086</x:v>
      </x:c>
      <x:c r="G683" s="134" t="n">
        <x:v>0</x:v>
      </x:c>
      <x:c r="H683" s="134" t="n">
        <x:v>5</x:v>
      </x:c>
      <x:c r="I683" s="134" t="n">
        <x:v>4</x:v>
      </x:c>
      <x:c r="J683" s="133" t="n">
        <x:v>0.1669449081803005</x:v>
      </x:c>
      <x:c r="K683" s="133" t="n">
        <x:v>0.19175455417066156</x:v>
      </x:c>
      <x:c r="L683" s="133" t="n">
        <x:v>0.1519756838905775</x:v>
      </x:c>
      <x:c r="M683" s="133" t="n">
        <x:v>0.18552875695732837</x:v>
      </x:c>
      <x:c r="N683" s="133" t="n">
        <x:v>0</x:v>
      </x:c>
      <x:c r="O683" s="133" t="n">
        <x:v>0.3597122302158273</x:v>
      </x:c>
      <x:c r="P683" s="132"/>
    </x:row>
    <x:row r="684">
      <x:c r="A684" s="136" t="str">
        <x:v>01033020801</x:v>
      </x:c>
      <x:c r="B684" s="132" t="str">
        <x:v>Colbert County</x:v>
      </x:c>
      <x:c r="C684" s="132" t="n">
        <x:v>0</x:v>
      </x:c>
      <x:c r="D684" s="134" t="n">
        <x:v>4182</x:v>
      </x:c>
      <x:c r="E684" s="133" t="n">
        <x:v>12.1</x:v>
      </x:c>
      <x:c r="F684" s="134" t="n">
        <x:v>3054</x:v>
      </x:c>
      <x:c r="G684" s="134" t="n">
        <x:v>0</x:v>
      </x:c>
      <x:c r="H684" s="134" t="n">
        <x:v>5</x:v>
      </x:c>
      <x:c r="I684" s="134" t="n">
        <x:v>4</x:v>
      </x:c>
      <x:c r="J684" s="133" t="n">
        <x:v>0.11956001912960305</x:v>
      </x:c>
      <x:c r="K684" s="133" t="n">
        <x:v>0.13097576948264572</x:v>
      </x:c>
      <x:c r="L684" s="133" t="n">
        <x:v>0.12886597938144329</x:v>
      </x:c>
      <x:c r="M684" s="133" t="n">
        <x:v>0.10040160642570281</x:v>
      </x:c>
      <x:c r="N684" s="133" t="n">
        <x:v>0</x:v>
      </x:c>
      <x:c r="O684" s="133" t="n">
        <x:v>0</x:v>
      </x:c>
      <x:c r="P684" s="132"/>
    </x:row>
    <x:row r="685">
      <x:c r="A685" s="136" t="str">
        <x:v>01063060101</x:v>
      </x:c>
      <x:c r="B685" s="132" t="str">
        <x:v>Greene County</x:v>
      </x:c>
      <x:c r="C685" s="132" t="n">
        <x:v>0</x:v>
      </x:c>
      <x:c r="D685" s="134" t="n">
        <x:v>2068</x:v>
      </x:c>
      <x:c r="E685" s="133" t="n">
        <x:v>44.3</x:v>
      </x:c>
      <x:c r="F685" s="134" t="n">
        <x:v>402</x:v>
      </x:c>
      <x:c r="G685" s="134" t="n">
        <x:v>0</x:v>
      </x:c>
      <x:c r="H685" s="134" t="n">
        <x:v>22</x:v>
      </x:c>
      <x:c r="I685" s="134" t="n">
        <x:v>4</x:v>
      </x:c>
      <x:c r="J685" s="133" t="n">
        <x:v>1.0638297872340425</x:v>
      </x:c>
      <x:c r="K685" s="133" t="n">
        <x:v>0.9950248756218906</x:v>
      </x:c>
      <x:c r="L685" s="133" t="n">
        <x:v>1.0452961672473868</x:v>
      </x:c>
      <x:c r="M685" s="133" t="n">
        <x:v>1.1869436201780414</x:v>
      </x:c>
      <x:c r="N685" s="133" t="n">
        <x:v>0.9900990099009901</x:v>
      </x:c>
      <x:c r="O685" s="133" t="n">
        <x:v>0.9463722397476341</x:v>
      </x:c>
      <x:c r="P685" s="132"/>
    </x:row>
    <x:row r="686">
      <x:c r="A686" s="136" t="str">
        <x:v>01069041200</x:v>
      </x:c>
      <x:c r="B686" s="132" t="str">
        <x:v>Houston County</x:v>
      </x:c>
      <x:c r="C686" s="132" t="n">
        <x:v>1</x:v>
      </x:c>
      <x:c r="D686" s="134" t="n">
        <x:v>2294</x:v>
      </x:c>
      <x:c r="E686" s="133" t="n">
        <x:v>51.2</x:v>
      </x:c>
      <x:c r="F686" s="134" t="n">
        <x:v>471</x:v>
      </x:c>
      <x:c r="G686" s="134" t="n">
        <x:v>0</x:v>
      </x:c>
      <x:c r="H686" s="134" t="n">
        <x:v>19</x:v>
      </x:c>
      <x:c r="I686" s="134" t="n">
        <x:v>4</x:v>
      </x:c>
      <x:c r="J686" s="133" t="n">
        <x:v>0.8282476024411508</x:v>
      </x:c>
      <x:c r="K686" s="133" t="n">
        <x:v>0.8492569002123143</x:v>
      </x:c>
      <x:c r="L686" s="133" t="n">
        <x:v>0.8833922261484098</x:v>
      </x:c>
      <x:c r="M686" s="133" t="n">
        <x:v>0.7984031936127745</x:v>
      </x:c>
      <x:c r="N686" s="133" t="n">
        <x:v>0.8426966292134831</x:v>
      </x:c>
      <x:c r="O686" s="133" t="n">
        <x:v>0.7858546168958742</x:v>
      </x:c>
      <x:c r="P686" s="132"/>
    </x:row>
    <x:row r="687">
      <x:c r="A687" s="136" t="str">
        <x:v>01083021203</x:v>
      </x:c>
      <x:c r="B687" s="132" t="str">
        <x:v>Limestone County</x:v>
      </x:c>
      <x:c r="C687" s="132" t="n">
        <x:v>0</x:v>
      </x:c>
      <x:c r="D687" s="134" t="n">
        <x:v>5834</x:v>
      </x:c>
      <x:c r="E687" s="133" t="n">
        <x:v>4.9</x:v>
      </x:c>
      <x:c r="F687" s="134" t="n">
        <x:v>5583</x:v>
      </x:c>
      <x:c r="G687" s="134" t="n">
        <x:v>0</x:v>
      </x:c>
      <x:c r="H687" s="134" t="n">
        <x:v>5</x:v>
      </x:c>
      <x:c r="I687" s="134" t="n">
        <x:v>4</x:v>
      </x:c>
      <x:c r="J687" s="133" t="n">
        <x:v>0.08570449091532396</x:v>
      </x:c>
      <x:c r="K687" s="133" t="n">
        <x:v>0.07164606842199535</x:v>
      </x:c>
      <x:c r="L687" s="133" t="n">
        <x:v>0.060204695966285374</x:v>
      </x:c>
      <x:c r="M687" s="133" t="n">
        <x:v>0</x:v>
      </x:c>
      <x:c r="N687" s="133"/>
      <x:c r="O687" s="133" t="n">
        <x:v>0</x:v>
      </x:c>
      <x:c r="P687" s="132"/>
    </x:row>
    <x:row r="688">
      <x:c r="A688" s="136" t="str">
        <x:v>01089001301</x:v>
      </x:c>
      <x:c r="B688" s="132" t="str">
        <x:v>Madison County</x:v>
      </x:c>
      <x:c r="C688" s="132" t="n">
        <x:v>1</x:v>
      </x:c>
      <x:c r="D688" s="134" t="n">
        <x:v>3574</x:v>
      </x:c>
      <x:c r="E688" s="133" t="n">
        <x:v>25.3</x:v>
      </x:c>
      <x:c r="F688" s="134" t="n">
        <x:v>1608</x:v>
      </x:c>
      <x:c r="G688" s="134" t="n">
        <x:v>0</x:v>
      </x:c>
      <x:c r="H688" s="134" t="n">
        <x:v>8</x:v>
      </x:c>
      <x:c r="I688" s="134" t="n">
        <x:v>4</x:v>
      </x:c>
      <x:c r="J688" s="133" t="n">
        <x:v>0.2238388360380526</x:v>
      </x:c>
      <x:c r="K688" s="133" t="n">
        <x:v>0.24875621890547264</x:v>
      </x:c>
      <x:c r="L688" s="133" t="n">
        <x:v>0.3021148036253776</x:v>
      </x:c>
      <x:c r="M688" s="133" t="n">
        <x:v>0.4366812227074236</x:v>
      </x:c>
      <x:c r="N688" s="133" t="n">
        <x:v>0</x:v>
      </x:c>
      <x:c r="O688" s="133" t="n">
        <x:v>0</x:v>
      </x:c>
      <x:c r="P688" s="132"/>
    </x:row>
    <x:row r="689">
      <x:c r="A689" s="136" t="str">
        <x:v>01089002200</x:v>
      </x:c>
      <x:c r="B689" s="132" t="str">
        <x:v>Madison County</x:v>
      </x:c>
      <x:c r="C689" s="132" t="n">
        <x:v>1</x:v>
      </x:c>
      <x:c r="D689" s="134" t="n">
        <x:v>2161</x:v>
      </x:c>
      <x:c r="E689" s="133" t="n">
        <x:v>33.8</x:v>
      </x:c>
      <x:c r="F689" s="134" t="n">
        <x:v>723</x:v>
      </x:c>
      <x:c r="G689" s="134" t="n">
        <x:v>0</x:v>
      </x:c>
      <x:c r="H689" s="134" t="n">
        <x:v>13</x:v>
      </x:c>
      <x:c r="I689" s="134" t="n">
        <x:v>4</x:v>
      </x:c>
      <x:c r="J689" s="133" t="n">
        <x:v>0.6015733456732995</x:v>
      </x:c>
      <x:c r="K689" s="133" t="n">
        <x:v>0.5532503457814661</x:v>
      </x:c>
      <x:c r="L689" s="133" t="n">
        <x:v>0.6944444444444444</x:v>
      </x:c>
      <x:c r="M689" s="133" t="n">
        <x:v>0.5319148936170213</x:v>
      </x:c>
      <x:c r="N689" s="133" t="n">
        <x:v>0</x:v>
      </x:c>
      <x:c r="O689" s="133" t="n">
        <x:v>0.5076142131979695</x:v>
      </x:c>
      <x:c r="P689" s="132"/>
    </x:row>
    <x:row r="690">
      <x:c r="A690" s="136" t="str">
        <x:v>01093964401</x:v>
      </x:c>
      <x:c r="B690" s="132" t="str">
        <x:v>Marion County</x:v>
      </x:c>
      <x:c r="C690" s="132" t="n">
        <x:v>0</x:v>
      </x:c>
      <x:c r="D690" s="134" t="n">
        <x:v>3713</x:v>
      </x:c>
      <x:c r="E690" s="133" t="n">
        <x:v>15.2</x:v>
      </x:c>
      <x:c r="F690" s="134" t="n">
        <x:v>2219</x:v>
      </x:c>
      <x:c r="G690" s="134" t="n">
        <x:v>0</x:v>
      </x:c>
      <x:c r="H690" s="134" t="n">
        <x:v>7</x:v>
      </x:c>
      <x:c r="I690" s="134" t="n">
        <x:v>4</x:v>
      </x:c>
      <x:c r="J690" s="133" t="n">
        <x:v>0.18852679773767841</x:v>
      </x:c>
      <x:c r="K690" s="133" t="n">
        <x:v>0.18026137899954936</x:v>
      </x:c>
      <x:c r="L690" s="133" t="n">
        <x:v>0.13966480446927373</x:v>
      </x:c>
      <x:c r="M690" s="133" t="n">
        <x:v>0.13386880856760375</x:v>
      </x:c>
      <x:c r="N690" s="133" t="n">
        <x:v>0</x:v>
      </x:c>
      <x:c r="O690" s="133" t="n">
        <x:v>0</x:v>
      </x:c>
      <x:c r="P690" s="132"/>
    </x:row>
    <x:row r="691">
      <x:c r="A691" s="136" t="str">
        <x:v>01101006000</x:v>
      </x:c>
      <x:c r="B691" s="132" t="str">
        <x:v>Montgomery County</x:v>
      </x:c>
      <x:c r="C691" s="132" t="n">
        <x:v>0</x:v>
      </x:c>
      <x:c r="D691" s="134" t="n">
        <x:v>3209</x:v>
      </x:c>
      <x:c r="E691" s="133" t="n">
        <x:v>25.2</x:v>
      </x:c>
      <x:c r="F691" s="134" t="n">
        <x:v>1593</x:v>
      </x:c>
      <x:c r="G691" s="134" t="n">
        <x:v>0</x:v>
      </x:c>
      <x:c r="H691" s="134" t="n">
        <x:v>8</x:v>
      </x:c>
      <x:c r="I691" s="134" t="n">
        <x:v>4</x:v>
      </x:c>
      <x:c r="J691" s="133" t="n">
        <x:v>0.24929884699283267</x:v>
      </x:c>
      <x:c r="K691" s="133" t="n">
        <x:v>0.25109855618330196</x:v>
      </x:c>
      <x:c r="L691" s="133" t="n">
        <x:v>0.3225806451612903</x:v>
      </x:c>
      <x:c r="M691" s="133" t="n">
        <x:v>0.28530670470756064</x:v>
      </x:c>
      <x:c r="N691" s="133" t="n">
        <x:v>0</x:v>
      </x:c>
      <x:c r="O691" s="133" t="n">
        <x:v>0.3472222222222222</x:v>
      </x:c>
      <x:c r="P691" s="132"/>
    </x:row>
    <x:row r="692">
      <x:c r="A692" s="136" t="str">
        <x:v>01111000200</x:v>
      </x:c>
      <x:c r="B692" s="132" t="str">
        <x:v>Randolph County</x:v>
      </x:c>
      <x:c r="C692" s="132" t="n">
        <x:v>0</x:v>
      </x:c>
      <x:c r="D692" s="134" t="n">
        <x:v>3439</x:v>
      </x:c>
      <x:c r="E692" s="133" t="n">
        <x:v>27.5</x:v>
      </x:c>
      <x:c r="F692" s="134" t="n">
        <x:v>2475</x:v>
      </x:c>
      <x:c r="G692" s="134" t="n">
        <x:v>0</x:v>
      </x:c>
      <x:c r="H692" s="134" t="n">
        <x:v>6</x:v>
      </x:c>
      <x:c r="I692" s="134" t="n">
        <x:v>4</x:v>
      </x:c>
      <x:c r="J692" s="133" t="n">
        <x:v>0.17446932247746438</x:v>
      </x:c>
      <x:c r="K692" s="133" t="n">
        <x:v>0.16161616161616163</x:v>
      </x:c>
      <x:c r="L692" s="133" t="n">
        <x:v>0.1402524544179523</x:v>
      </x:c>
      <x:c r="M692" s="133" t="n">
        <x:v>0.14792899408284024</x:v>
      </x:c>
      <x:c r="N692" s="133" t="n">
        <x:v>0</x:v>
      </x:c>
      <x:c r="O692" s="133" t="n">
        <x:v>0.2932551319648094</x:v>
      </x:c>
      <x:c r="P692" s="132"/>
    </x:row>
    <x:row r="693">
      <x:c r="A693" s="136" t="str">
        <x:v>01111000500</x:v>
      </x:c>
      <x:c r="B693" s="132" t="str">
        <x:v>Randolph County</x:v>
      </x:c>
      <x:c r="C693" s="132" t="n">
        <x:v>0</x:v>
      </x:c>
      <x:c r="D693" s="134" t="n">
        <x:v>4467</x:v>
      </x:c>
      <x:c r="E693" s="133" t="n">
        <x:v>19</x:v>
      </x:c>
      <x:c r="F693" s="134" t="n">
        <x:v>2048</x:v>
      </x:c>
      <x:c r="G693" s="134" t="n">
        <x:v>0</x:v>
      </x:c>
      <x:c r="H693" s="134" t="n">
        <x:v>8</x:v>
      </x:c>
      <x:c r="I693" s="134" t="n">
        <x:v>4</x:v>
      </x:c>
      <x:c r="J693" s="133" t="n">
        <x:v>0.17909111260353705</x:v>
      </x:c>
      <x:c r="K693" s="133" t="n">
        <x:v>0.1953125</x:v>
      </x:c>
      <x:c r="L693" s="133" t="n">
        <x:v>0.20060180541624875</x:v>
      </x:c>
      <x:c r="M693" s="133" t="n">
        <x:v>0.11778563015312132</x:v>
      </x:c>
      <x:c r="N693" s="133" t="n">
        <x:v>0</x:v>
      </x:c>
      <x:c r="O693" s="133" t="n">
        <x:v>0.21141649048625794</x:v>
      </x:c>
      <x:c r="P693" s="132"/>
    </x:row>
    <x:row r="694">
      <x:c r="A694" s="136" t="str">
        <x:v>01117030502</x:v>
      </x:c>
      <x:c r="B694" s="132" t="str">
        <x:v>Shelby County</x:v>
      </x:c>
      <x:c r="C694" s="132" t="n">
        <x:v>0</x:v>
      </x:c>
      <x:c r="D694" s="134" t="n">
        <x:v>3249</x:v>
      </x:c>
      <x:c r="E694" s="133" t="n">
        <x:v>3</x:v>
      </x:c>
      <x:c r="F694" s="134" t="n">
        <x:v>3266</x:v>
      </x:c>
      <x:c r="G694" s="134" t="n">
        <x:v>0</x:v>
      </x:c>
      <x:c r="H694" s="134" t="n">
        <x:v>4</x:v>
      </x:c>
      <x:c r="I694" s="134" t="n">
        <x:v>4</x:v>
      </x:c>
      <x:c r="J694" s="133" t="n">
        <x:v>0.12311480455524777</x:v>
      </x:c>
      <x:c r="K694" s="133" t="n">
        <x:v>0.1224739742804654</x:v>
      </x:c>
      <x:c r="L694" s="133" t="n">
        <x:v>0.11600928074245939</x:v>
      </x:c>
      <x:c r="M694" s="133" t="n">
        <x:v>0</x:v>
      </x:c>
      <x:c r="N694" s="133" t="n">
        <x:v>0</x:v>
      </x:c>
      <x:c r="O694" s="133" t="n">
        <x:v>0</x:v>
      </x:c>
      <x:c r="P694" s="132"/>
    </x:row>
    <x:row r="695">
      <x:c r="A695" s="136" t="str">
        <x:v>01117030615</x:v>
      </x:c>
      <x:c r="B695" s="132" t="str">
        <x:v>Shelby County</x:v>
      </x:c>
      <x:c r="C695" s="132" t="n">
        <x:v>0</x:v>
      </x:c>
      <x:c r="D695" s="134" t="n">
        <x:v>6484</x:v>
      </x:c>
      <x:c r="E695" s="133" t="n">
        <x:v>7</x:v>
      </x:c>
      <x:c r="F695" s="134" t="n">
        <x:v>5892</x:v>
      </x:c>
      <x:c r="G695" s="134" t="n">
        <x:v>0</x:v>
      </x:c>
      <x:c r="H695" s="134" t="n">
        <x:v>5</x:v>
      </x:c>
      <x:c r="I695" s="134" t="n">
        <x:v>4</x:v>
      </x:c>
      <x:c r="J695" s="133" t="n">
        <x:v>0.07711289327575571</x:v>
      </x:c>
      <x:c r="K695" s="133" t="n">
        <x:v>0.06788866259334692</x:v>
      </x:c>
      <x:c r="L695" s="133" t="n">
        <x:v>0.06365372374283895</x:v>
      </x:c>
      <x:c r="M695" s="133" t="n">
        <x:v>0.09569377990430622</x:v>
      </x:c>
      <x:c r="N695" s="133"/>
      <x:c r="O695" s="133" t="n">
        <x:v>0</x:v>
      </x:c>
      <x:c r="P695" s="132"/>
    </x:row>
    <x:row r="696">
      <x:c r="A696" s="136" t="str">
        <x:v>01121011501</x:v>
      </x:c>
      <x:c r="B696" s="132" t="str">
        <x:v>Talladega County</x:v>
      </x:c>
      <x:c r="C696" s="132" t="n">
        <x:v>0</x:v>
      </x:c>
      <x:c r="D696" s="134" t="n">
        <x:v>2660</x:v>
      </x:c>
      <x:c r="E696" s="133" t="n">
        <x:v>9.6</x:v>
      </x:c>
      <x:c r="F696" s="134" t="n">
        <x:v>2287</x:v>
      </x:c>
      <x:c r="G696" s="134" t="n">
        <x:v>0</x:v>
      </x:c>
      <x:c r="H696" s="134" t="n">
        <x:v>4</x:v>
      </x:c>
      <x:c r="I696" s="134" t="n">
        <x:v>4</x:v>
      </x:c>
      <x:c r="J696" s="133" t="n">
        <x:v>0.15037593984962405</x:v>
      </x:c>
      <x:c r="K696" s="133" t="n">
        <x:v>0.17490161783996502</x:v>
      </x:c>
      <x:c r="L696" s="133" t="n">
        <x:v>0.18281535648994515</x:v>
      </x:c>
      <x:c r="M696" s="133" t="n">
        <x:v>0.18248175182481752</x:v>
      </x:c>
      <x:c r="N696" s="133" t="n">
        <x:v>0</x:v>
      </x:c>
      <x:c r="O696" s="133" t="n">
        <x:v>0</x:v>
      </x:c>
      <x:c r="P696" s="132"/>
    </x:row>
    <x:row r="697">
      <x:c r="A697" s="136" t="str">
        <x:v>01123962302</x:v>
      </x:c>
      <x:c r="B697" s="132" t="str">
        <x:v>Tallapoosa County</x:v>
      </x:c>
      <x:c r="C697" s="132" t="n">
        <x:v>0</x:v>
      </x:c>
      <x:c r="D697" s="134" t="n">
        <x:v>3677</x:v>
      </x:c>
      <x:c r="E697" s="133" t="n">
        <x:v>16.8</x:v>
      </x:c>
      <x:c r="F697" s="134" t="n">
        <x:v>1874</x:v>
      </x:c>
      <x:c r="G697" s="134" t="n">
        <x:v>0</x:v>
      </x:c>
      <x:c r="H697" s="134" t="n">
        <x:v>8</x:v>
      </x:c>
      <x:c r="I697" s="134" t="n">
        <x:v>4</x:v>
      </x:c>
      <x:c r="J697" s="133" t="n">
        <x:v>0.21756867011150394</x:v>
      </x:c>
      <x:c r="K697" s="133" t="n">
        <x:v>0.21344717182497333</x:v>
      </x:c>
      <x:c r="L697" s="133" t="n">
        <x:v>0.27100271002710025</x:v>
      </x:c>
      <x:c r="M697" s="133" t="n">
        <x:v>0.2304147465437788</x:v>
      </x:c>
      <x:c r="N697" s="133" t="n">
        <x:v>0</x:v>
      </x:c>
      <x:c r="O697" s="133" t="n">
        <x:v>0</x:v>
      </x:c>
      <x:c r="P697" s="132"/>
    </x:row>
    <x:row r="698">
      <x:c r="A698" s="136" t="str">
        <x:v>01127021500</x:v>
      </x:c>
      <x:c r="B698" s="132" t="str">
        <x:v>Walker County</x:v>
      </x:c>
      <x:c r="C698" s="132" t="n">
        <x:v>0</x:v>
      </x:c>
      <x:c r="D698" s="134" t="n">
        <x:v>2919</x:v>
      </x:c>
      <x:c r="E698" s="133" t="n">
        <x:v>29.8</x:v>
      </x:c>
      <x:c r="F698" s="134" t="n">
        <x:v>1468</x:v>
      </x:c>
      <x:c r="G698" s="134" t="n">
        <x:v>0</x:v>
      </x:c>
      <x:c r="H698" s="134" t="n">
        <x:v>9</x:v>
      </x:c>
      <x:c r="I698" s="134" t="n">
        <x:v>4</x:v>
      </x:c>
      <x:c r="J698" s="133" t="n">
        <x:v>0.30832476875642345</x:v>
      </x:c>
      <x:c r="K698" s="133" t="n">
        <x:v>0.2724795640326976</x:v>
      </x:c>
      <x:c r="L698" s="133" t="n">
        <x:v>0.351493848857645</x:v>
      </x:c>
      <x:c r="M698" s="133" t="n">
        <x:v>0.2898550724637681</x:v>
      </x:c>
      <x:c r="N698" s="133" t="n">
        <x:v>0</x:v>
      </x:c>
      <x:c r="O698" s="133" t="n">
        <x:v>0.3472222222222222</x:v>
      </x:c>
      <x:c r="P698" s="132"/>
    </x:row>
    <x:row r="699">
      <x:c r="A699" s="136" t="str">
        <x:v>01131034802</x:v>
      </x:c>
      <x:c r="B699" s="132" t="str">
        <x:v>Wilcox County</x:v>
      </x:c>
      <x:c r="C699" s="132" t="n">
        <x:v>0</x:v>
      </x:c>
      <x:c r="D699" s="134" t="n">
        <x:v>2591</x:v>
      </x:c>
      <x:c r="E699" s="133" t="n">
        <x:v>28.3</x:v>
      </x:c>
      <x:c r="F699" s="134" t="n">
        <x:v>1340</x:v>
      </x:c>
      <x:c r="G699" s="134" t="n">
        <x:v>0</x:v>
      </x:c>
      <x:c r="H699" s="134" t="n">
        <x:v>9</x:v>
      </x:c>
      <x:c r="I699" s="134" t="n">
        <x:v>4</x:v>
      </x:c>
      <x:c r="J699" s="133" t="n">
        <x:v>0.34735623311462754</x:v>
      </x:c>
      <x:c r="K699" s="133" t="n">
        <x:v>0.29850746268656714</x:v>
      </x:c>
      <x:c r="L699" s="133" t="n">
        <x:v>0.3992015968063872</x:v>
      </x:c>
      <x:c r="M699" s="133" t="n">
        <x:v>0.3412969283276451</x:v>
      </x:c>
      <x:c r="N699" s="133" t="n">
        <x:v>0</x:v>
      </x:c>
      <x:c r="O699" s="133" t="n">
        <x:v>0.37735849056603776</x:v>
      </x:c>
      <x:c r="P699" s="132"/>
    </x:row>
    <x:row r="700">
      <x:c r="A700" s="136" t="str">
        <x:v>01033020705</x:v>
      </x:c>
      <x:c r="B700" s="132" t="str">
        <x:v>Colbert County</x:v>
      </x:c>
      <x:c r="C700" s="132" t="n">
        <x:v>0</x:v>
      </x:c>
      <x:c r="D700" s="134" t="n">
        <x:v>1388</x:v>
      </x:c>
      <x:c r="E700" s="133" t="n">
        <x:v>23.4</x:v>
      </x:c>
      <x:c r="F700" s="134" t="n">
        <x:v>832</x:v>
      </x:c>
      <x:c r="G700" s="134" t="n">
        <x:v>0</x:v>
      </x:c>
      <x:c r="H700" s="134" t="n">
        <x:v>8</x:v>
      </x:c>
      <x:c r="I700" s="134" t="n">
        <x:v>5</x:v>
      </x:c>
      <x:c r="J700" s="133" t="n">
        <x:v>0.5763688760806917</x:v>
      </x:c>
      <x:c r="K700" s="133" t="n">
        <x:v>0.6009615384615384</x:v>
      </x:c>
      <x:c r="L700" s="133" t="n">
        <x:v>0.7220216606498195</x:v>
      </x:c>
      <x:c r="M700" s="133" t="n">
        <x:v>0.6430868167202572</x:v>
      </x:c>
      <x:c r="N700" s="133" t="n">
        <x:v>0</x:v>
      </x:c>
      <x:c r="O700" s="133" t="n">
        <x:v>0</x:v>
      </x:c>
      <x:c r="P700" s="132"/>
    </x:row>
    <x:row r="701">
      <x:c r="A701" s="136" t="str">
        <x:v>01039962300</x:v>
      </x:c>
      <x:c r="B701" s="132" t="str">
        <x:v>Covington County</x:v>
      </x:c>
      <x:c r="C701" s="132" t="n">
        <x:v>0</x:v>
      </x:c>
      <x:c r="D701" s="134" t="n">
        <x:v>3315</x:v>
      </x:c>
      <x:c r="E701" s="133" t="n">
        <x:v>7</x:v>
      </x:c>
      <x:c r="F701" s="134" t="n">
        <x:v>2482</x:v>
      </x:c>
      <x:c r="G701" s="134" t="n">
        <x:v>0</x:v>
      </x:c>
      <x:c r="H701" s="134" t="n">
        <x:v>7</x:v>
      </x:c>
      <x:c r="I701" s="134" t="n">
        <x:v>5</x:v>
      </x:c>
      <x:c r="J701" s="133" t="n">
        <x:v>0.21116138763197587</x:v>
      </x:c>
      <x:c r="K701" s="133" t="n">
        <x:v>0.20145044319097502</x:v>
      </x:c>
      <x:c r="L701" s="133" t="n">
        <x:v>0.2702702702702703</x:v>
      </x:c>
      <x:c r="M701" s="133" t="n">
        <x:v>0.14836795252225518</x:v>
      </x:c>
      <x:c r="N701" s="133" t="n">
        <x:v>0</x:v>
      </x:c>
      <x:c r="O701" s="133" t="n">
        <x:v>0</x:v>
      </x:c>
      <x:c r="P701" s="132"/>
    </x:row>
    <x:row r="702">
      <x:c r="A702" s="136" t="str">
        <x:v>01043965502</x:v>
      </x:c>
      <x:c r="B702" s="132" t="str">
        <x:v>Cullman County</x:v>
      </x:c>
      <x:c r="C702" s="132" t="n">
        <x:v>0</x:v>
      </x:c>
      <x:c r="D702" s="134" t="n">
        <x:v>4423</x:v>
      </x:c>
      <x:c r="E702" s="133" t="n">
        <x:v>12.9</x:v>
      </x:c>
      <x:c r="F702" s="134" t="n">
        <x:v>2875</x:v>
      </x:c>
      <x:c r="G702" s="134" t="n">
        <x:v>0</x:v>
      </x:c>
      <x:c r="H702" s="134" t="n">
        <x:v>8</x:v>
      </x:c>
      <x:c r="I702" s="134" t="n">
        <x:v>5</x:v>
      </x:c>
      <x:c r="J702" s="133" t="n">
        <x:v>0.18087271082975356</x:v>
      </x:c>
      <x:c r="K702" s="133" t="n">
        <x:v>0.17391304347826086</x:v>
      </x:c>
      <x:c r="L702" s="133" t="n">
        <x:v>0.22573363431151242</x:v>
      </x:c>
      <x:c r="M702" s="133" t="n">
        <x:v>0.2178649237472767</x:v>
      </x:c>
      <x:c r="N702" s="133" t="n">
        <x:v>0</x:v>
      </x:c>
      <x:c r="O702" s="133" t="n">
        <x:v>0</x:v>
      </x:c>
      <x:c r="P702" s="132"/>
    </x:row>
    <x:row r="703">
      <x:c r="A703" s="136" t="str">
        <x:v>01047956201</x:v>
      </x:c>
      <x:c r="B703" s="132" t="str">
        <x:v>Dallas County</x:v>
      </x:c>
      <x:c r="C703" s="132" t="n">
        <x:v>0</x:v>
      </x:c>
      <x:c r="D703" s="134" t="n">
        <x:v>2103</x:v>
      </x:c>
      <x:c r="E703" s="133" t="n">
        <x:v>30.5</x:v>
      </x:c>
      <x:c r="F703" s="134" t="n">
        <x:v>1046</x:v>
      </x:c>
      <x:c r="G703" s="134" t="n">
        <x:v>0</x:v>
      </x:c>
      <x:c r="H703" s="134" t="n">
        <x:v>10</x:v>
      </x:c>
      <x:c r="I703" s="134" t="n">
        <x:v>5</x:v>
      </x:c>
      <x:c r="J703" s="133" t="n">
        <x:v>0.47551117451260105</x:v>
      </x:c>
      <x:c r="K703" s="133" t="n">
        <x:v>0.4780114722753346</x:v>
      </x:c>
      <x:c r="L703" s="133" t="n">
        <x:v>0.5154639175257731</x:v>
      </x:c>
      <x:c r="M703" s="133" t="n">
        <x:v>0.47619047619047616</x:v>
      </x:c>
      <x:c r="N703" s="133" t="n">
        <x:v>0</x:v>
      </x:c>
      <x:c r="O703" s="133" t="n">
        <x:v>0.3968253968253968</x:v>
      </x:c>
      <x:c r="P703" s="132"/>
    </x:row>
    <x:row r="704">
      <x:c r="A704" s="136" t="str">
        <x:v>01053970100</x:v>
      </x:c>
      <x:c r="B704" s="132" t="str">
        <x:v>Escambia County</x:v>
      </x:c>
      <x:c r="C704" s="132" t="n">
        <x:v>0</x:v>
      </x:c>
      <x:c r="D704" s="134" t="n">
        <x:v>4600</x:v>
      </x:c>
      <x:c r="E704" s="133" t="n">
        <x:v>13</x:v>
      </x:c>
      <x:c r="F704" s="134" t="n">
        <x:v>3404</x:v>
      </x:c>
      <x:c r="G704" s="134" t="n">
        <x:v>0</x:v>
      </x:c>
      <x:c r="H704" s="134" t="n">
        <x:v>7</x:v>
      </x:c>
      <x:c r="I704" s="134" t="n">
        <x:v>5</x:v>
      </x:c>
      <x:c r="J704" s="133" t="n">
        <x:v>0.15217391304347827</x:v>
      </x:c>
      <x:c r="K704" s="133" t="n">
        <x:v>0.14688601645123384</x:v>
      </x:c>
      <x:c r="L704" s="133" t="n">
        <x:v>0.20304568527918782</x:v>
      </x:c>
      <x:c r="M704" s="133" t="n">
        <x:v>0.16420361247947454</x:v>
      </x:c>
      <x:c r="N704" s="133" t="n">
        <x:v>0</x:v>
      </x:c>
      <x:c r="O704" s="133" t="n">
        <x:v>0</x:v>
      </x:c>
      <x:c r="P704" s="132"/>
    </x:row>
    <x:row r="705">
      <x:c r="A705" s="136" t="str">
        <x:v>01055010602</x:v>
      </x:c>
      <x:c r="B705" s="132" t="str">
        <x:v>Etowah County</x:v>
      </x:c>
      <x:c r="C705" s="132" t="n">
        <x:v>0</x:v>
      </x:c>
      <x:c r="D705" s="134" t="n">
        <x:v>4004</x:v>
      </x:c>
      <x:c r="E705" s="133" t="n">
        <x:v>13.1</x:v>
      </x:c>
      <x:c r="F705" s="134" t="n">
        <x:v>2341</x:v>
      </x:c>
      <x:c r="G705" s="134" t="n">
        <x:v>0</x:v>
      </x:c>
      <x:c r="H705" s="134" t="n">
        <x:v>8</x:v>
      </x:c>
      <x:c r="I705" s="134" t="n">
        <x:v>5</x:v>
      </x:c>
      <x:c r="J705" s="133" t="n">
        <x:v>0.1998001998001998</x:v>
      </x:c>
      <x:c r="K705" s="133" t="n">
        <x:v>0.21358393848782573</x:v>
      </x:c>
      <x:c r="L705" s="133" t="n">
        <x:v>0.23014959723820483</x:v>
      </x:c>
      <x:c r="M705" s="133" t="n">
        <x:v>0.13736263736263737</x:v>
      </x:c>
      <x:c r="N705" s="133" t="n">
        <x:v>0</x:v>
      </x:c>
      <x:c r="O705" s="133" t="n">
        <x:v>0</x:v>
      </x:c>
      <x:c r="P705" s="132"/>
    </x:row>
    <x:row r="706">
      <x:c r="A706" s="136" t="str">
        <x:v>01073000500</x:v>
      </x:c>
      <x:c r="B706" s="132" t="str">
        <x:v>Jefferson County</x:v>
      </x:c>
      <x:c r="C706" s="132" t="n">
        <x:v>1</x:v>
      </x:c>
      <x:c r="D706" s="134" t="n">
        <x:v>3037</x:v>
      </x:c>
      <x:c r="E706" s="133" t="n">
        <x:v>56.4</x:v>
      </x:c>
      <x:c r="F706" s="134" t="n">
        <x:v>637</x:v>
      </x:c>
      <x:c r="G706" s="134" t="n">
        <x:v>0</x:v>
      </x:c>
      <x:c r="H706" s="134" t="n">
        <x:v>23</x:v>
      </x:c>
      <x:c r="I706" s="134" t="n">
        <x:v>5</x:v>
      </x:c>
      <x:c r="J706" s="133" t="n">
        <x:v>0.7573263088574251</x:v>
      </x:c>
      <x:c r="K706" s="133" t="n">
        <x:v>0.7849293563579278</x:v>
      </x:c>
      <x:c r="L706" s="133" t="n">
        <x:v>0.7423117709437964</x:v>
      </x:c>
      <x:c r="M706" s="133" t="n">
        <x:v>0.6681514476614699</x:v>
      </x:c>
      <x:c r="N706" s="133" t="n">
        <x:v>0.7978723404255319</x:v>
      </x:c>
      <x:c r="O706" s="133" t="n">
        <x:v>0.7608695652173914</x:v>
      </x:c>
      <x:c r="P706" s="132"/>
    </x:row>
    <x:row r="707">
      <x:c r="A707" s="136" t="str">
        <x:v>01073003802</x:v>
      </x:c>
      <x:c r="B707" s="132" t="str">
        <x:v>Jefferson County</x:v>
      </x:c>
      <x:c r="C707" s="132" t="n">
        <x:v>1</x:v>
      </x:c>
      <x:c r="D707" s="134" t="n">
        <x:v>4607</x:v>
      </x:c>
      <x:c r="E707" s="133" t="n">
        <x:v>23.2</x:v>
      </x:c>
      <x:c r="F707" s="134" t="n">
        <x:v>3003</x:v>
      </x:c>
      <x:c r="G707" s="134" t="n">
        <x:v>0</x:v>
      </x:c>
      <x:c r="H707" s="134" t="n">
        <x:v>7</x:v>
      </x:c>
      <x:c r="I707" s="134" t="n">
        <x:v>5</x:v>
      </x:c>
      <x:c r="J707" s="133" t="n">
        <x:v>0.15194269589754722</x:v>
      </x:c>
      <x:c r="K707" s="133" t="n">
        <x:v>0.1665001665001665</x:v>
      </x:c>
      <x:c r="L707" s="133" t="n">
        <x:v>0.1019367991845056</x:v>
      </x:c>
      <x:c r="M707" s="133" t="n">
        <x:v>0.11655011655011654</x:v>
      </x:c>
      <x:c r="N707" s="133" t="n">
        <x:v>0</x:v>
      </x:c>
      <x:c r="O707" s="133" t="n">
        <x:v>0.17793594306049823</x:v>
      </x:c>
      <x:c r="P707" s="132"/>
    </x:row>
    <x:row r="708">
      <x:c r="A708" s="136" t="str">
        <x:v>01073005800</x:v>
      </x:c>
      <x:c r="B708" s="132" t="str">
        <x:v>Jefferson County</x:v>
      </x:c>
      <x:c r="C708" s="132" t="n">
        <x:v>1</x:v>
      </x:c>
      <x:c r="D708" s="134" t="n">
        <x:v>2803</x:v>
      </x:c>
      <x:c r="E708" s="133" t="n">
        <x:v>17.7</x:v>
      </x:c>
      <x:c r="F708" s="134" t="n">
        <x:v>1787</x:v>
      </x:c>
      <x:c r="G708" s="134" t="n">
        <x:v>0</x:v>
      </x:c>
      <x:c r="H708" s="134" t="n">
        <x:v>8</x:v>
      </x:c>
      <x:c r="I708" s="134" t="n">
        <x:v>5</x:v>
      </x:c>
      <x:c r="J708" s="133" t="n">
        <x:v>0.28540849090260434</x:v>
      </x:c>
      <x:c r="K708" s="133" t="n">
        <x:v>0.27979854504756574</x:v>
      </x:c>
      <x:c r="L708" s="133" t="n">
        <x:v>0.3105590062111801</x:v>
      </x:c>
      <x:c r="M708" s="133" t="n">
        <x:v>0.27548209366391185</x:v>
      </x:c>
      <x:c r="N708" s="133" t="n">
        <x:v>0.49504950495049505</x:v>
      </x:c>
      <x:c r="O708" s="133" t="n">
        <x:v>0.3597122302158273</x:v>
      </x:c>
      <x:c r="P708" s="132"/>
    </x:row>
    <x:row r="709">
      <x:c r="A709" s="136" t="str">
        <x:v>01073010301</x:v>
      </x:c>
      <x:c r="B709" s="132" t="str">
        <x:v>Jefferson County</x:v>
      </x:c>
      <x:c r="C709" s="132" t="n">
        <x:v>1</x:v>
      </x:c>
      <x:c r="D709" s="134" t="n">
        <x:v>2448</x:v>
      </x:c>
      <x:c r="E709" s="133" t="n">
        <x:v>17.3</x:v>
      </x:c>
      <x:c r="F709" s="134" t="n">
        <x:v>1105</x:v>
      </x:c>
      <x:c r="G709" s="134" t="n">
        <x:v>0</x:v>
      </x:c>
      <x:c r="H709" s="134" t="n">
        <x:v>10</x:v>
      </x:c>
      <x:c r="I709" s="134" t="n">
        <x:v>5</x:v>
      </x:c>
      <x:c r="J709" s="133" t="n">
        <x:v>0.4084967320261438</x:v>
      </x:c>
      <x:c r="K709" s="133" t="n">
        <x:v>0.45248868778280543</x:v>
      </x:c>
      <x:c r="L709" s="133" t="n">
        <x:v>0.3831417624521073</x:v>
      </x:c>
      <x:c r="M709" s="133" t="n">
        <x:v>0.43859649122807015</x:v>
      </x:c>
      <x:c r="N709" s="133" t="n">
        <x:v>0.39215686274509803</x:v>
      </x:c>
      <x:c r="O709" s="133" t="n">
        <x:v>0.3401360544217687</x:v>
      </x:c>
      <x:c r="P709" s="132"/>
    </x:row>
    <x:row r="710">
      <x:c r="A710" s="136" t="str">
        <x:v>01073011600</x:v>
      </x:c>
      <x:c r="B710" s="132" t="str">
        <x:v>Jefferson County</x:v>
      </x:c>
      <x:c r="C710" s="132" t="n">
        <x:v>0</x:v>
      </x:c>
      <x:c r="D710" s="134" t="n">
        <x:v>3863</x:v>
      </x:c>
      <x:c r="E710" s="133" t="n">
        <x:v>16.9</x:v>
      </x:c>
      <x:c r="F710" s="134" t="n">
        <x:v>2924</x:v>
      </x:c>
      <x:c r="G710" s="134" t="n">
        <x:v>0</x:v>
      </x:c>
      <x:c r="H710" s="134" t="n">
        <x:v>6</x:v>
      </x:c>
      <x:c r="I710" s="134" t="n">
        <x:v>5</x:v>
      </x:c>
      <x:c r="J710" s="133" t="n">
        <x:v>0.15531969971524723</x:v>
      </x:c>
      <x:c r="K710" s="133" t="n">
        <x:v>0.17099863201094392</x:v>
      </x:c>
      <x:c r="L710" s="133" t="n">
        <x:v>0.1141552511415525</x:v>
      </x:c>
      <x:c r="M710" s="133" t="n">
        <x:v>0.15037593984962405</x:v>
      </x:c>
      <x:c r="N710" s="133" t="n">
        <x:v>0</x:v>
      </x:c>
      <x:c r="O710" s="133" t="n">
        <x:v>0</x:v>
      </x:c>
      <x:c r="P710" s="132"/>
    </x:row>
    <x:row r="711">
      <x:c r="A711" s="136" t="str">
        <x:v>01073012200</x:v>
      </x:c>
      <x:c r="B711" s="132" t="str">
        <x:v>Jefferson County</x:v>
      </x:c>
      <x:c r="C711" s="132" t="n">
        <x:v>0</x:v>
      </x:c>
      <x:c r="D711" s="134" t="n">
        <x:v>4022</x:v>
      </x:c>
      <x:c r="E711" s="133" t="n">
        <x:v>10.3</x:v>
      </x:c>
      <x:c r="F711" s="134" t="n">
        <x:v>1797</x:v>
      </x:c>
      <x:c r="G711" s="134" t="n">
        <x:v>0</x:v>
      </x:c>
      <x:c r="H711" s="134" t="n">
        <x:v>11</x:v>
      </x:c>
      <x:c r="I711" s="134" t="n">
        <x:v>5</x:v>
      </x:c>
      <x:c r="J711" s="133" t="n">
        <x:v>0.27349577324714075</x:v>
      </x:c>
      <x:c r="K711" s="133" t="n">
        <x:v>0.27824151363383415</x:v>
      </x:c>
      <x:c r="L711" s="133" t="n">
        <x:v>0.1941747572815534</x:v>
      </x:c>
      <x:c r="M711" s="133" t="n">
        <x:v>0.3546099290780142</x:v>
      </x:c>
      <x:c r="N711" s="133" t="n">
        <x:v>0</x:v>
      </x:c>
      <x:c r="O711" s="133" t="n">
        <x:v>0</x:v>
      </x:c>
      <x:c r="P711" s="132"/>
    </x:row>
    <x:row r="712">
      <x:c r="A712" s="136" t="str">
        <x:v>01089002100</x:v>
      </x:c>
      <x:c r="B712" s="132" t="str">
        <x:v>Madison County</x:v>
      </x:c>
      <x:c r="C712" s="132" t="n">
        <x:v>1</x:v>
      </x:c>
      <x:c r="D712" s="134" t="n">
        <x:v>3182</x:v>
      </x:c>
      <x:c r="E712" s="133" t="n">
        <x:v>30.6</x:v>
      </x:c>
      <x:c r="F712" s="134" t="n">
        <x:v>1135</x:v>
      </x:c>
      <x:c r="G712" s="134" t="n">
        <x:v>0</x:v>
      </x:c>
      <x:c r="H712" s="134" t="n">
        <x:v>14</x:v>
      </x:c>
      <x:c r="I712" s="134" t="n">
        <x:v>5</x:v>
      </x:c>
      <x:c r="J712" s="133" t="n">
        <x:v>0.43997485857950974</x:v>
      </x:c>
      <x:c r="K712" s="133" t="n">
        <x:v>0.44052863436123346</x:v>
      </x:c>
      <x:c r="L712" s="133" t="n">
        <x:v>0.4489337822671156</x:v>
      </x:c>
      <x:c r="M712" s="133" t="n">
        <x:v>0.3225806451612903</x:v>
      </x:c>
      <x:c r="N712" s="133" t="n">
        <x:v>0.5194805194805194</x:v>
      </x:c>
      <x:c r="O712" s="133" t="n">
        <x:v>0.5390835579514824</x:v>
      </x:c>
      <x:c r="P712" s="132"/>
    </x:row>
    <x:row r="713">
      <x:c r="A713" s="136" t="str">
        <x:v>01097002900</x:v>
      </x:c>
      <x:c r="B713" s="132" t="str">
        <x:v>Mobile County</x:v>
      </x:c>
      <x:c r="C713" s="132" t="n">
        <x:v>1</x:v>
      </x:c>
      <x:c r="D713" s="134" t="n">
        <x:v>4106</x:v>
      </x:c>
      <x:c r="E713" s="133" t="n">
        <x:v>20.8</x:v>
      </x:c>
      <x:c r="F713" s="134" t="n">
        <x:v>1652</x:v>
      </x:c>
      <x:c r="G713" s="134" t="n">
        <x:v>0</x:v>
      </x:c>
      <x:c r="H713" s="134" t="n">
        <x:v>12</x:v>
      </x:c>
      <x:c r="I713" s="134" t="n">
        <x:v>5</x:v>
      </x:c>
      <x:c r="J713" s="133" t="n">
        <x:v>0.2922552362396493</x:v>
      </x:c>
      <x:c r="K713" s="133" t="n">
        <x:v>0.3026634382566586</x:v>
      </x:c>
      <x:c r="L713" s="133" t="n">
        <x:v>0.2827521206409048</x:v>
      </x:c>
      <x:c r="M713" s="133" t="n">
        <x:v>0.39215686274509803</x:v>
      </x:c>
      <x:c r="N713" s="133" t="n">
        <x:v>0.5181347150259067</x:v>
      </x:c>
      <x:c r="O713" s="133" t="n">
        <x:v>0.2222222222222222</x:v>
      </x:c>
      <x:c r="P713" s="132"/>
    </x:row>
    <x:row r="714">
      <x:c r="A714" s="136" t="str">
        <x:v>01097005800</x:v>
      </x:c>
      <x:c r="B714" s="132" t="str">
        <x:v>Mobile County</x:v>
      </x:c>
      <x:c r="C714" s="132" t="n">
        <x:v>0</x:v>
      </x:c>
      <x:c r="D714" s="134" t="n">
        <x:v>4554</x:v>
      </x:c>
      <x:c r="E714" s="133" t="n">
        <x:v>9.6</x:v>
      </x:c>
      <x:c r="F714" s="134" t="n">
        <x:v>2939</x:v>
      </x:c>
      <x:c r="G714" s="134" t="n">
        <x:v>0</x:v>
      </x:c>
      <x:c r="H714" s="134" t="n">
        <x:v>8</x:v>
      </x:c>
      <x:c r="I714" s="134" t="n">
        <x:v>5</x:v>
      </x:c>
      <x:c r="J714" s="133" t="n">
        <x:v>0.1756697408871322</x:v>
      </x:c>
      <x:c r="K714" s="133" t="n">
        <x:v>0.1701258931609391</x:v>
      </x:c>
      <x:c r="L714" s="133" t="n">
        <x:v>0.19900497512437812</x:v>
      </x:c>
      <x:c r="M714" s="133" t="n">
        <x:v>0.2185792349726776</x:v>
      </x:c>
      <x:c r="N714" s="133" t="n">
        <x:v>0</x:v>
      </x:c>
      <x:c r="O714" s="133" t="n">
        <x:v>0</x:v>
      </x:c>
      <x:c r="P714" s="132"/>
    </x:row>
    <x:row r="715">
      <x:c r="A715" s="136" t="str">
        <x:v>01109189001</x:v>
      </x:c>
      <x:c r="B715" s="132" t="str">
        <x:v>Pike County</x:v>
      </x:c>
      <x:c r="C715" s="132" t="n">
        <x:v>0</x:v>
      </x:c>
      <x:c r="D715" s="134" t="n">
        <x:v>3055</x:v>
      </x:c>
      <x:c r="E715" s="133" t="n">
        <x:v>8.2</x:v>
      </x:c>
      <x:c r="F715" s="134" t="n">
        <x:v>1945</x:v>
      </x:c>
      <x:c r="G715" s="134" t="n">
        <x:v>0</x:v>
      </x:c>
      <x:c r="H715" s="134" t="n">
        <x:v>8</x:v>
      </x:c>
      <x:c r="I715" s="134" t="n">
        <x:v>5</x:v>
      </x:c>
      <x:c r="J715" s="133" t="n">
        <x:v>0.2618657937806874</x:v>
      </x:c>
      <x:c r="K715" s="133" t="n">
        <x:v>0.2570694087403599</x:v>
      </x:c>
      <x:c r="L715" s="133" t="n">
        <x:v>0.32679738562091504</x:v>
      </x:c>
      <x:c r="M715" s="133" t="n">
        <x:v>0.18181818181818182</x:v>
      </x:c>
      <x:c r="N715" s="133" t="n">
        <x:v>0</x:v>
      </x:c>
      <x:c r="O715" s="133" t="n">
        <x:v>0</x:v>
      </x:c>
      <x:c r="P715" s="132"/>
    </x:row>
    <x:row r="716">
      <x:c r="A716" s="136" t="str">
        <x:v>01121010400</x:v>
      </x:c>
      <x:c r="B716" s="132" t="str">
        <x:v>Talladega County</x:v>
      </x:c>
      <x:c r="C716" s="132" t="n">
        <x:v>0</x:v>
      </x:c>
      <x:c r="D716" s="134" t="n">
        <x:v>2775</x:v>
      </x:c>
      <x:c r="E716" s="133" t="n">
        <x:v>24.1</x:v>
      </x:c>
      <x:c r="F716" s="134" t="n">
        <x:v>1314</x:v>
      </x:c>
      <x:c r="G716" s="134" t="n">
        <x:v>0</x:v>
      </x:c>
      <x:c r="H716" s="134" t="n">
        <x:v>10</x:v>
      </x:c>
      <x:c r="I716" s="134" t="n">
        <x:v>5</x:v>
      </x:c>
      <x:c r="J716" s="133" t="n">
        <x:v>0.36036036036036034</x:v>
      </x:c>
      <x:c r="K716" s="133" t="n">
        <x:v>0.380517503805175</x:v>
      </x:c>
      <x:c r="L716" s="133" t="n">
        <x:v>0.3669724770642202</x:v>
      </x:c>
      <x:c r="M716" s="133" t="n">
        <x:v>0.3215434083601286</x:v>
      </x:c>
      <x:c r="N716" s="133" t="n">
        <x:v>0.3831417624521073</x:v>
      </x:c>
      <x:c r="O716" s="133" t="n">
        <x:v>0.35842293906810035</x:v>
      </x:c>
      <x:c r="P716" s="132"/>
    </x:row>
    <x:row r="717">
      <x:c r="A717" s="136" t="str">
        <x:v>01121011100</x:v>
      </x:c>
      <x:c r="B717" s="132" t="str">
        <x:v>Talladega County</x:v>
      </x:c>
      <x:c r="C717" s="132" t="n">
        <x:v>0</x:v>
      </x:c>
      <x:c r="D717" s="134" t="n">
        <x:v>4532</x:v>
      </x:c>
      <x:c r="E717" s="133" t="n">
        <x:v>9.1</x:v>
      </x:c>
      <x:c r="F717" s="134" t="n">
        <x:v>3021</x:v>
      </x:c>
      <x:c r="G717" s="134" t="n">
        <x:v>0</x:v>
      </x:c>
      <x:c r="H717" s="134" t="n">
        <x:v>7</x:v>
      </x:c>
      <x:c r="I717" s="134" t="n">
        <x:v>5</x:v>
      </x:c>
      <x:c r="J717" s="133" t="n">
        <x:v>0.15445719329214475</x:v>
      </x:c>
      <x:c r="K717" s="133" t="n">
        <x:v>0.16550810989738496</x:v>
      </x:c>
      <x:c r="L717" s="133" t="n">
        <x:v>0.11614401858304298</x:v>
      </x:c>
      <x:c r="M717" s="133" t="n">
        <x:v>0.11148272017837235</x:v>
      </x:c>
      <x:c r="N717" s="133" t="n">
        <x:v>0</x:v>
      </x:c>
      <x:c r="O717" s="133" t="n">
        <x:v>0.2717391304347826</x:v>
      </x:c>
      <x:c r="P717" s="132"/>
    </x:row>
    <x:row r="718">
      <x:c r="A718" s="136" t="str">
        <x:v>01123962000</x:v>
      </x:c>
      <x:c r="B718" s="132" t="str">
        <x:v>Tallapoosa County</x:v>
      </x:c>
      <x:c r="C718" s="132" t="n">
        <x:v>0</x:v>
      </x:c>
      <x:c r="D718" s="134" t="n">
        <x:v>3988</x:v>
      </x:c>
      <x:c r="E718" s="133" t="n">
        <x:v>14.3</x:v>
      </x:c>
      <x:c r="F718" s="134" t="n">
        <x:v>1418</x:v>
      </x:c>
      <x:c r="G718" s="134" t="n">
        <x:v>0</x:v>
      </x:c>
      <x:c r="H718" s="134" t="n">
        <x:v>14</x:v>
      </x:c>
      <x:c r="I718" s="134" t="n">
        <x:v>5</x:v>
      </x:c>
      <x:c r="J718" s="133" t="n">
        <x:v>0.3510531594784353</x:v>
      </x:c>
      <x:c r="K718" s="133" t="n">
        <x:v>0.3526093088857546</x:v>
      </x:c>
      <x:c r="L718" s="133" t="n">
        <x:v>0.3054989816700611</x:v>
      </x:c>
      <x:c r="M718" s="133" t="n">
        <x:v>0.40268456375838924</x:v>
      </x:c>
      <x:c r="N718" s="133" t="n">
        <x:v>0</x:v>
      </x:c>
      <x:c r="O718" s="133" t="n">
        <x:v>0.46511627906976744</x:v>
      </x:c>
      <x:c r="P718" s="132"/>
    </x:row>
    <x:row r="719">
      <x:c r="A719" s="136" t="str">
        <x:v>01003010300</x:v>
      </x:c>
      <x:c r="B719" s="132" t="str">
        <x:v>Baldwin County</x:v>
      </x:c>
      <x:c r="C719" s="132" t="n">
        <x:v>0</x:v>
      </x:c>
      <x:c r="D719" s="134" t="n">
        <x:v>8380</x:v>
      </x:c>
      <x:c r="E719" s="133" t="n">
        <x:v>7.7</x:v>
      </x:c>
      <x:c r="F719" s="134" t="n">
        <x:v>5578</x:v>
      </x:c>
      <x:c r="G719" s="134" t="n">
        <x:v>0</x:v>
      </x:c>
      <x:c r="H719" s="134" t="n">
        <x:v>8</x:v>
      </x:c>
      <x:c r="I719" s="134" t="n">
        <x:v>6</x:v>
      </x:c>
      <x:c r="J719" s="133" t="n">
        <x:v>0.0954653937947494</x:v>
      </x:c>
      <x:c r="K719" s="133" t="n">
        <x:v>0.10756543564001435</x:v>
      </x:c>
      <x:c r="L719" s="133" t="n">
        <x:v>0.11198208286674133</x:v>
      </x:c>
      <x:c r="M719" s="133" t="n">
        <x:v>0.1251564455569462</x:v>
      </x:c>
      <x:c r="N719" s="133" t="n">
        <x:v>0</x:v>
      </x:c>
      <x:c r="O719" s="133" t="n">
        <x:v>0</x:v>
      </x:c>
      <x:c r="P719" s="132"/>
    </x:row>
    <x:row r="720">
      <x:c r="A720" s="136" t="str">
        <x:v>01003011300</x:v>
      </x:c>
      <x:c r="B720" s="132" t="str">
        <x:v>Baldwin County</x:v>
      </x:c>
      <x:c r="C720" s="132" t="n">
        <x:v>0</x:v>
      </x:c>
      <x:c r="D720" s="134" t="n">
        <x:v>5170</x:v>
      </x:c>
      <x:c r="E720" s="133" t="n">
        <x:v>18.6</x:v>
      </x:c>
      <x:c r="F720" s="134" t="n">
        <x:v>3457</x:v>
      </x:c>
      <x:c r="G720" s="134" t="n">
        <x:v>0</x:v>
      </x:c>
      <x:c r="H720" s="134" t="n">
        <x:v>9</x:v>
      </x:c>
      <x:c r="I720" s="134" t="n">
        <x:v>6</x:v>
      </x:c>
      <x:c r="J720" s="133" t="n">
        <x:v>0.17408123791102514</x:v>
      </x:c>
      <x:c r="K720" s="133" t="n">
        <x:v>0.17356089094590685</x:v>
      </x:c>
      <x:c r="L720" s="133" t="n">
        <x:v>0.21253985122210414</x:v>
      </x:c>
      <x:c r="M720" s="133" t="n">
        <x:v>0.14194464158977999</x:v>
      </x:c>
      <x:c r="N720" s="133" t="n">
        <x:v>0</x:v>
      </x:c>
      <x:c r="O720" s="133" t="n">
        <x:v>0</x:v>
      </x:c>
      <x:c r="P720" s="132"/>
    </x:row>
    <x:row r="721">
      <x:c r="A721" s="136" t="str">
        <x:v>01051031200</x:v>
      </x:c>
      <x:c r="B721" s="132" t="str">
        <x:v>Elmore County</x:v>
      </x:c>
      <x:c r="C721" s="132" t="n">
        <x:v>0</x:v>
      </x:c>
      <x:c r="D721" s="134" t="n">
        <x:v>1781</x:v>
      </x:c>
      <x:c r="E721" s="133" t="n">
        <x:v>31.4</x:v>
      </x:c>
      <x:c r="F721" s="134" t="n">
        <x:v>738</x:v>
      </x:c>
      <x:c r="G721" s="134" t="n">
        <x:v>0</x:v>
      </x:c>
      <x:c r="H721" s="134" t="n">
        <x:v>13</x:v>
      </x:c>
      <x:c r="I721" s="134" t="n">
        <x:v>6</x:v>
      </x:c>
      <x:c r="J721" s="133" t="n">
        <x:v>0.7299270072992701</x:v>
      </x:c>
      <x:c r="K721" s="133" t="n">
        <x:v>0.8130081300813008</x:v>
      </x:c>
      <x:c r="L721" s="133" t="n">
        <x:v>0.7371007371007371</x:v>
      </x:c>
      <x:c r="M721" s="133" t="n">
        <x:v>0.6309148264984227</x:v>
      </x:c>
      <x:c r="N721" s="133" t="n">
        <x:v>0</x:v>
      </x:c>
      <x:c r="O721" s="133" t="n">
        <x:v>0</x:v>
      </x:c>
      <x:c r="P721" s="132"/>
    </x:row>
    <x:row r="722">
      <x:c r="A722" s="136" t="str">
        <x:v>01053969802</x:v>
      </x:c>
      <x:c r="B722" s="132" t="str">
        <x:v>Escambia County</x:v>
      </x:c>
      <x:c r="C722" s="132" t="n">
        <x:v>0</x:v>
      </x:c>
      <x:c r="D722" s="134" t="n">
        <x:v>4099</x:v>
      </x:c>
      <x:c r="E722" s="133" t="n">
        <x:v>30.1</x:v>
      </x:c>
      <x:c r="F722" s="134" t="n">
        <x:v>1383</x:v>
      </x:c>
      <x:c r="G722" s="134" t="n">
        <x:v>0</x:v>
      </x:c>
      <x:c r="H722" s="134" t="n">
        <x:v>18</x:v>
      </x:c>
      <x:c r="I722" s="134" t="n">
        <x:v>6</x:v>
      </x:c>
      <x:c r="J722" s="133" t="n">
        <x:v>0.43913149548670405</x:v>
      </x:c>
      <x:c r="K722" s="133" t="n">
        <x:v>0.43383947939262474</x:v>
      </x:c>
      <x:c r="L722" s="133" t="n">
        <x:v>0.40816326530612246</x:v>
      </x:c>
      <x:c r="M722" s="133" t="n">
        <x:v>0.39267015706806285</x:v>
      </x:c>
      <x:c r="N722" s="133" t="n">
        <x:v>0</x:v>
      </x:c>
      <x:c r="O722" s="133" t="n">
        <x:v>0.43859649122807015</x:v>
      </x:c>
      <x:c r="P722" s="132"/>
    </x:row>
    <x:row r="723">
      <x:c r="A723" s="136" t="str">
        <x:v>01055011100</x:v>
      </x:c>
      <x:c r="B723" s="132" t="str">
        <x:v>Etowah County</x:v>
      </x:c>
      <x:c r="C723" s="132" t="n">
        <x:v>0</x:v>
      </x:c>
      <x:c r="D723" s="134" t="n">
        <x:v>5401</x:v>
      </x:c>
      <x:c r="E723" s="133" t="n">
        <x:v>29</x:v>
      </x:c>
      <x:c r="F723" s="134" t="n">
        <x:v>2460</x:v>
      </x:c>
      <x:c r="G723" s="134" t="n">
        <x:v>0</x:v>
      </x:c>
      <x:c r="H723" s="134" t="n">
        <x:v>13</x:v>
      </x:c>
      <x:c r="I723" s="134" t="n">
        <x:v>6</x:v>
      </x:c>
      <x:c r="J723" s="133" t="n">
        <x:v>0.24069616737641178</x:v>
      </x:c>
      <x:c r="K723" s="133" t="n">
        <x:v>0.24390243902439024</x:v>
      </x:c>
      <x:c r="L723" s="133" t="n">
        <x:v>0.23273855702094648</x:v>
      </x:c>
      <x:c r="M723" s="133" t="n">
        <x:v>0.2081165452653486</x:v>
      </x:c>
      <x:c r="N723" s="133" t="n">
        <x:v>0</x:v>
      </x:c>
      <x:c r="O723" s="133" t="n">
        <x:v>0.2557544757033248</x:v>
      </x:c>
      <x:c r="P723" s="132"/>
    </x:row>
    <x:row r="724">
      <x:c r="A724" s="136" t="str">
        <x:v>01065040300</x:v>
      </x:c>
      <x:c r="B724" s="132" t="str">
        <x:v>Hale County</x:v>
      </x:c>
      <x:c r="C724" s="132" t="n">
        <x:v>0</x:v>
      </x:c>
      <x:c r="D724" s="134" t="n">
        <x:v>1946</x:v>
      </x:c>
      <x:c r="E724" s="133" t="n">
        <x:v>37.9</x:v>
      </x:c>
      <x:c r="F724" s="134" t="n">
        <x:v>722</x:v>
      </x:c>
      <x:c r="G724" s="134" t="n">
        <x:v>0</x:v>
      </x:c>
      <x:c r="H724" s="134" t="n">
        <x:v>16</x:v>
      </x:c>
      <x:c r="I724" s="134" t="n">
        <x:v>6</x:v>
      </x:c>
      <x:c r="J724" s="133" t="n">
        <x:v>0.8221993833504625</x:v>
      </x:c>
      <x:c r="K724" s="133" t="n">
        <x:v>0.8310249307479224</x:v>
      </x:c>
      <x:c r="L724" s="133" t="n">
        <x:v>0.75</x:v>
      </x:c>
      <x:c r="M724" s="133" t="n">
        <x:v>0.8875739644970414</x:v>
      </x:c>
      <x:c r="N724" s="133" t="n">
        <x:v>0.625</x:v>
      </x:c>
      <x:c r="O724" s="133" t="n">
        <x:v>0.970873786407767</x:v>
      </x:c>
      <x:c r="P724" s="132"/>
    </x:row>
    <x:row r="725">
      <x:c r="A725" s="136" t="str">
        <x:v>01071951101</x:v>
      </x:c>
      <x:c r="B725" s="132" t="str">
        <x:v>Jackson County</x:v>
      </x:c>
      <x:c r="C725" s="132" t="n">
        <x:v>0</x:v>
      </x:c>
      <x:c r="D725" s="134" t="n">
        <x:v>4295</x:v>
      </x:c>
      <x:c r="E725" s="133" t="n">
        <x:v>9.3</x:v>
      </x:c>
      <x:c r="F725" s="134" t="n">
        <x:v>3295</x:v>
      </x:c>
      <x:c r="G725" s="134" t="n">
        <x:v>0</x:v>
      </x:c>
      <x:c r="H725" s="134" t="n">
        <x:v>7</x:v>
      </x:c>
      <x:c r="I725" s="134" t="n">
        <x:v>6</x:v>
      </x:c>
      <x:c r="J725" s="133" t="n">
        <x:v>0.1629802095459837</x:v>
      </x:c>
      <x:c r="K725" s="133" t="n">
        <x:v>0.18209408194233687</x:v>
      </x:c>
      <x:c r="L725" s="133" t="n">
        <x:v>0.23014959723820483</x:v>
      </x:c>
      <x:c r="M725" s="133" t="n">
        <x:v>0.11764705882352941</x:v>
      </x:c>
      <x:c r="N725" s="133" t="n">
        <x:v>0</x:v>
      </x:c>
      <x:c r="O725" s="133" t="n">
        <x:v>0</x:v>
      </x:c>
      <x:c r="P725" s="132"/>
    </x:row>
    <x:row r="726">
      <x:c r="A726" s="136" t="str">
        <x:v>01077010700</x:v>
      </x:c>
      <x:c r="B726" s="132" t="str">
        <x:v>Lauderdale County</x:v>
      </x:c>
      <x:c r="C726" s="132" t="n">
        <x:v>1</x:v>
      </x:c>
      <x:c r="D726" s="134" t="n">
        <x:v>1582</x:v>
      </x:c>
      <x:c r="E726" s="133" t="n">
        <x:v>27.8</x:v>
      </x:c>
      <x:c r="F726" s="134" t="n">
        <x:v>719</x:v>
      </x:c>
      <x:c r="G726" s="134" t="n">
        <x:v>0</x:v>
      </x:c>
      <x:c r="H726" s="134" t="n">
        <x:v>14</x:v>
      </x:c>
      <x:c r="I726" s="134" t="n">
        <x:v>6</x:v>
      </x:c>
      <x:c r="J726" s="133" t="n">
        <x:v>0.8849557522123894</x:v>
      </x:c>
      <x:c r="K726" s="133" t="n">
        <x:v>0.8344923504867872</x:v>
      </x:c>
      <x:c r="L726" s="133" t="n">
        <x:v>0.8676789587852495</x:v>
      </x:c>
      <x:c r="M726" s="133" t="n">
        <x:v>1.0810810810810811</x:v>
      </x:c>
      <x:c r="N726" s="133" t="n">
        <x:v>0</x:v>
      </x:c>
      <x:c r="O726" s="133" t="n">
        <x:v>0.8733624454148472</x:v>
      </x:c>
      <x:c r="P726" s="132"/>
    </x:row>
    <x:row r="727">
      <x:c r="A727" s="136" t="str">
        <x:v>01081040700</x:v>
      </x:c>
      <x:c r="B727" s="132" t="str">
        <x:v>Lee County</x:v>
      </x:c>
      <x:c r="C727" s="132" t="n">
        <x:v>1</x:v>
      </x:c>
      <x:c r="D727" s="134" t="n">
        <x:v>5173</x:v>
      </x:c>
      <x:c r="E727" s="133" t="n">
        <x:v>72.9</x:v>
      </x:c>
      <x:c r="F727" s="134" t="n">
        <x:v>154</x:v>
      </x:c>
      <x:c r="G727" s="134" t="n">
        <x:v>0</x:v>
      </x:c>
      <x:c r="H727" s="134" t="n">
        <x:v>197</x:v>
      </x:c>
      <x:c r="I727" s="134" t="n">
        <x:v>6</x:v>
      </x:c>
      <x:c r="J727" s="133" t="n">
        <x:v>3.8082350666924416</x:v>
      </x:c>
      <x:c r="K727" s="133" t="n">
        <x:v>3.896103896103896</x:v>
      </x:c>
      <x:c r="L727" s="133" t="n">
        <x:v>4.545454545454546</x:v>
      </x:c>
      <x:c r="M727" s="133" t="n">
        <x:v>6.666666666666667</x:v>
      </x:c>
      <x:c r="N727" s="133"/>
      <x:c r="O727" s="133"/>
      <x:c r="P727" s="132"/>
    </x:row>
    <x:row r="728">
      <x:c r="A728" s="136" t="str">
        <x:v>01097004900</x:v>
      </x:c>
      <x:c r="B728" s="132" t="str">
        <x:v>Mobile County</x:v>
      </x:c>
      <x:c r="C728" s="132" t="n">
        <x:v>1</x:v>
      </x:c>
      <x:c r="D728" s="134" t="n">
        <x:v>2985</x:v>
      </x:c>
      <x:c r="E728" s="133" t="n">
        <x:v>38.7</x:v>
      </x:c>
      <x:c r="F728" s="134" t="n">
        <x:v>835</x:v>
      </x:c>
      <x:c r="G728" s="134" t="n">
        <x:v>0</x:v>
      </x:c>
      <x:c r="H728" s="134" t="n">
        <x:v>22</x:v>
      </x:c>
      <x:c r="I728" s="134" t="n">
        <x:v>6</x:v>
      </x:c>
      <x:c r="J728" s="133" t="n">
        <x:v>0.7370184254606366</x:v>
      </x:c>
      <x:c r="K728" s="133" t="n">
        <x:v>0.718562874251497</x:v>
      </x:c>
      <x:c r="L728" s="133" t="n">
        <x:v>0.759493670886076</x:v>
      </x:c>
      <x:c r="M728" s="133" t="n">
        <x:v>0.6557377049180327</x:v>
      </x:c>
      <x:c r="N728" s="133" t="n">
        <x:v>0.704225352112676</x:v>
      </x:c>
      <x:c r="O728" s="133" t="n">
        <x:v>0.8670520231213873</x:v>
      </x:c>
      <x:c r="P728" s="132"/>
    </x:row>
    <x:row r="729">
      <x:c r="A729" s="136" t="str">
        <x:v>01101001000</x:v>
      </x:c>
      <x:c r="B729" s="132" t="str">
        <x:v>Montgomery County</x:v>
      </x:c>
      <x:c r="C729" s="132" t="n">
        <x:v>1</x:v>
      </x:c>
      <x:c r="D729" s="134" t="n">
        <x:v>1200</x:v>
      </x:c>
      <x:c r="E729" s="133" t="n">
        <x:v>45</x:v>
      </x:c>
      <x:c r="F729" s="134" t="n">
        <x:v>232</x:v>
      </x:c>
      <x:c r="G729" s="134" t="n">
        <x:v>0</x:v>
      </x:c>
      <x:c r="H729" s="134" t="n">
        <x:v>30</x:v>
      </x:c>
      <x:c r="I729" s="134" t="n">
        <x:v>6</x:v>
      </x:c>
      <x:c r="J729" s="133" t="n">
        <x:v>2.5</x:v>
      </x:c>
      <x:c r="K729" s="133" t="n">
        <x:v>2.586206896551724</x:v>
      </x:c>
      <x:c r="L729" s="133" t="n">
        <x:v>2.5069637883008355</x:v>
      </x:c>
      <x:c r="M729" s="133" t="n">
        <x:v>2.158273381294964</x:v>
      </x:c>
      <x:c r="N729" s="133" t="n">
        <x:v>2.7522935779816513</x:v>
      </x:c>
      <x:c r="O729" s="133" t="n">
        <x:v>2.484472049689441</x:v>
      </x:c>
      <x:c r="P729" s="132"/>
    </x:row>
    <x:row r="730">
      <x:c r="A730" s="136" t="str">
        <x:v>01101002400</x:v>
      </x:c>
      <x:c r="B730" s="132" t="str">
        <x:v>Montgomery County</x:v>
      </x:c>
      <x:c r="C730" s="132" t="n">
        <x:v>1</x:v>
      </x:c>
      <x:c r="D730" s="134" t="n">
        <x:v>1758</x:v>
      </x:c>
      <x:c r="E730" s="133" t="n">
        <x:v>44</x:v>
      </x:c>
      <x:c r="F730" s="134" t="n">
        <x:v>502</x:v>
      </x:c>
      <x:c r="G730" s="134" t="n">
        <x:v>0</x:v>
      </x:c>
      <x:c r="H730" s="134" t="n">
        <x:v>22</x:v>
      </x:c>
      <x:c r="I730" s="134" t="n">
        <x:v>6</x:v>
      </x:c>
      <x:c r="J730" s="133" t="n">
        <x:v>1.2514220705346986</x:v>
      </x:c>
      <x:c r="K730" s="133" t="n">
        <x:v>1.1952191235059761</x:v>
      </x:c>
      <x:c r="L730" s="133" t="n">
        <x:v>1.1111111111111112</x:v>
      </x:c>
      <x:c r="M730" s="133" t="n">
        <x:v>1.1267605633802817</x:v>
      </x:c>
      <x:c r="N730" s="133" t="n">
        <x:v>1</x:v>
      </x:c>
      <x:c r="O730" s="133" t="n">
        <x:v>1.2244897959183674</x:v>
      </x:c>
      <x:c r="P730" s="132"/>
    </x:row>
    <x:row r="731">
      <x:c r="A731" s="136" t="str">
        <x:v>01101005101</x:v>
      </x:c>
      <x:c r="B731" s="132" t="str">
        <x:v>Montgomery County</x:v>
      </x:c>
      <x:c r="C731" s="132" t="n">
        <x:v>0</x:v>
      </x:c>
      <x:c r="D731" s="134" t="n">
        <x:v>3604</x:v>
      </x:c>
      <x:c r="E731" s="133" t="n">
        <x:v>5.3</x:v>
      </x:c>
      <x:c r="F731" s="134" t="n">
        <x:v>2057</x:v>
      </x:c>
      <x:c r="G731" s="134" t="n">
        <x:v>0</x:v>
      </x:c>
      <x:c r="H731" s="134" t="n">
        <x:v>10</x:v>
      </x:c>
      <x:c r="I731" s="134" t="n">
        <x:v>6</x:v>
      </x:c>
      <x:c r="J731" s="133" t="n">
        <x:v>0.27746947835738067</x:v>
      </x:c>
      <x:c r="K731" s="133" t="n">
        <x:v>0.2916869227029655</x:v>
      </x:c>
      <x:c r="L731" s="133" t="n">
        <x:v>0.26246719160104987</x:v>
      </x:c>
      <x:c r="M731" s="133" t="n">
        <x:v>0.23529411764705882</x:v>
      </x:c>
      <x:c r="N731" s="133" t="n">
        <x:v>0</x:v>
      </x:c>
      <x:c r="O731" s="133" t="n">
        <x:v>0.4219409282700422</x:v>
      </x:c>
      <x:c r="P731" s="132"/>
    </x:row>
    <x:row r="732">
      <x:c r="A732" s="136" t="str">
        <x:v>01109188900</x:v>
      </x:c>
      <x:c r="B732" s="132" t="str">
        <x:v>Pike County</x:v>
      </x:c>
      <x:c r="C732" s="132" t="n">
        <x:v>0</x:v>
      </x:c>
      <x:c r="D732" s="134" t="n">
        <x:v>4266</x:v>
      </x:c>
      <x:c r="E732" s="133" t="n">
        <x:v>20.1</x:v>
      </x:c>
      <x:c r="F732" s="134" t="n">
        <x:v>1998</x:v>
      </x:c>
      <x:c r="G732" s="134" t="n">
        <x:v>0</x:v>
      </x:c>
      <x:c r="H732" s="134" t="n">
        <x:v>13</x:v>
      </x:c>
      <x:c r="I732" s="134" t="n">
        <x:v>6</x:v>
      </x:c>
      <x:c r="J732" s="133" t="n">
        <x:v>0.30473511486169713</x:v>
      </x:c>
      <x:c r="K732" s="133" t="n">
        <x:v>0.3003003003003003</x:v>
      </x:c>
      <x:c r="L732" s="133" t="n">
        <x:v>0.3246753246753247</x:v>
      </x:c>
      <x:c r="M732" s="133" t="n">
        <x:v>0.3412969283276451</x:v>
      </x:c>
      <x:c r="N732" s="133" t="n">
        <x:v>0</x:v>
      </x:c>
      <x:c r="O732" s="133" t="n">
        <x:v>0.46296296296296297</x:v>
      </x:c>
      <x:c r="P732" s="132"/>
    </x:row>
    <x:row r="733">
      <x:c r="A733" s="136" t="str">
        <x:v>01121011200</x:v>
      </x:c>
      <x:c r="B733" s="132" t="str">
        <x:v>Talladega County</x:v>
      </x:c>
      <x:c r="C733" s="132" t="n">
        <x:v>0</x:v>
      </x:c>
      <x:c r="D733" s="134" t="n">
        <x:v>2590</x:v>
      </x:c>
      <x:c r="E733" s="133" t="n">
        <x:v>15.4</x:v>
      </x:c>
      <x:c r="F733" s="134" t="n">
        <x:v>1012</x:v>
      </x:c>
      <x:c r="G733" s="134" t="n">
        <x:v>0</x:v>
      </x:c>
      <x:c r="H733" s="134" t="n">
        <x:v>16</x:v>
      </x:c>
      <x:c r="I733" s="134" t="n">
        <x:v>6</x:v>
      </x:c>
      <x:c r="J733" s="133" t="n">
        <x:v>0.6177606177606177</x:v>
      </x:c>
      <x:c r="K733" s="133" t="n">
        <x:v>0.5928853754940712</x:v>
      </x:c>
      <x:c r="L733" s="133" t="n">
        <x:v>0.5797101449275363</x:v>
      </x:c>
      <x:c r="M733" s="133" t="n">
        <x:v>0.5893909626719057</x:v>
      </x:c>
      <x:c r="N733" s="133"/>
      <x:c r="O733" s="133" t="n">
        <x:v>0.8403361344537815</x:v>
      </x:c>
      <x:c r="P733" s="132"/>
    </x:row>
    <x:row r="734">
      <x:c r="A734" s="136" t="str">
        <x:v>01127021200</x:v>
      </x:c>
      <x:c r="B734" s="132" t="str">
        <x:v>Walker County</x:v>
      </x:c>
      <x:c r="C734" s="132" t="n">
        <x:v>0</x:v>
      </x:c>
      <x:c r="D734" s="134" t="n">
        <x:v>3100</x:v>
      </x:c>
      <x:c r="E734" s="133" t="n">
        <x:v>9.3</x:v>
      </x:c>
      <x:c r="F734" s="134" t="n">
        <x:v>2553</x:v>
      </x:c>
      <x:c r="G734" s="134" t="n">
        <x:v>0</x:v>
      </x:c>
      <x:c r="H734" s="134" t="n">
        <x:v>7</x:v>
      </x:c>
      <x:c r="I734" s="134" t="n">
        <x:v>6</x:v>
      </x:c>
      <x:c r="J734" s="133" t="n">
        <x:v>0.22580645161290322</x:v>
      </x:c>
      <x:c r="K734" s="133" t="n">
        <x:v>0.23501762632197415</x:v>
      </x:c>
      <x:c r="L734" s="133" t="n">
        <x:v>0.16260162601626016</x:v>
      </x:c>
      <x:c r="M734" s="133" t="n">
        <x:v>0.15503875968992248</x:v>
      </x:c>
      <x:c r="N734" s="133" t="n">
        <x:v>0</x:v>
      </x:c>
      <x:c r="O734" s="133" t="n">
        <x:v>0</x:v>
      </x:c>
      <x:c r="P734" s="132"/>
    </x:row>
    <x:row r="735">
      <x:c r="A735" s="136" t="str">
        <x:v>01133965602</x:v>
      </x:c>
      <x:c r="B735" s="132" t="str">
        <x:v>Winston County</x:v>
      </x:c>
      <x:c r="C735" s="132" t="n">
        <x:v>0</x:v>
      </x:c>
      <x:c r="D735" s="134" t="n">
        <x:v>3128</x:v>
      </x:c>
      <x:c r="E735" s="133" t="n">
        <x:v>16.6</x:v>
      </x:c>
      <x:c r="F735" s="134" t="n">
        <x:v>2258</x:v>
      </x:c>
      <x:c r="G735" s="134" t="n">
        <x:v>0</x:v>
      </x:c>
      <x:c r="H735" s="134" t="n">
        <x:v>8</x:v>
      </x:c>
      <x:c r="I735" s="134" t="n">
        <x:v>6</x:v>
      </x:c>
      <x:c r="J735" s="133" t="n">
        <x:v>0.2557544757033248</x:v>
      </x:c>
      <x:c r="K735" s="133" t="n">
        <x:v>0.2657218777679362</x:v>
      </x:c>
      <x:c r="L735" s="133" t="n">
        <x:v>0.3007518796992481</x:v>
      </x:c>
      <x:c r="M735" s="133" t="n">
        <x:v>0.2958579881656805</x:v>
      </x:c>
      <x:c r="N735" s="133" t="n">
        <x:v>0</x:v>
      </x:c>
      <x:c r="O735" s="133" t="n">
        <x:v>0.43478260869565216</x:v>
      </x:c>
      <x:c r="P735" s="132"/>
    </x:row>
    <x:row r="736">
      <x:c r="A736" s="136" t="str">
        <x:v>01003010904</x:v>
      </x:c>
      <x:c r="B736" s="132" t="str">
        <x:v>Baldwin County</x:v>
      </x:c>
      <x:c r="C736" s="132" t="n">
        <x:v>0</x:v>
      </x:c>
      <x:c r="D736" s="134" t="n">
        <x:v>7747</x:v>
      </x:c>
      <x:c r="E736" s="133" t="n">
        <x:v>5.5</x:v>
      </x:c>
      <x:c r="F736" s="134" t="n">
        <x:v>5680</x:v>
      </x:c>
      <x:c r="G736" s="134" t="n">
        <x:v>0</x:v>
      </x:c>
      <x:c r="H736" s="134" t="n">
        <x:v>10</x:v>
      </x:c>
      <x:c r="I736" s="134" t="n">
        <x:v>7</x:v>
      </x:c>
      <x:c r="J736" s="133" t="n">
        <x:v>0.1290822253775655</x:v>
      </x:c>
      <x:c r="K736" s="133" t="n">
        <x:v>0.12323943661971831</x:v>
      </x:c>
      <x:c r="L736" s="133" t="n">
        <x:v>0.1154068090017311</x:v>
      </x:c>
      <x:c r="M736" s="133" t="n">
        <x:v>0.1457725947521866</x:v>
      </x:c>
      <x:c r="N736" s="133" t="n">
        <x:v>0</x:v>
      </x:c>
      <x:c r="O736" s="133" t="n">
        <x:v>0</x:v>
      </x:c>
      <x:c r="P736" s="132"/>
    </x:row>
    <x:row r="737">
      <x:c r="A737" s="136" t="str">
        <x:v>01015002001</x:v>
      </x:c>
      <x:c r="B737" s="132" t="str">
        <x:v>Calhoun County</x:v>
      </x:c>
      <x:c r="C737" s="132" t="n">
        <x:v>0</x:v>
      </x:c>
      <x:c r="D737" s="134" t="n">
        <x:v>2739</x:v>
      </x:c>
      <x:c r="E737" s="133" t="n">
        <x:v>12</x:v>
      </x:c>
      <x:c r="F737" s="134" t="n">
        <x:v>2047</x:v>
      </x:c>
      <x:c r="G737" s="134" t="n">
        <x:v>0</x:v>
      </x:c>
      <x:c r="H737" s="134" t="n">
        <x:v>9</x:v>
      </x:c>
      <x:c r="I737" s="134" t="n">
        <x:v>7</x:v>
      </x:c>
      <x:c r="J737" s="133" t="n">
        <x:v>0.32858707557502737</x:v>
      </x:c>
      <x:c r="K737" s="133" t="n">
        <x:v>0.3419638495359062</x:v>
      </x:c>
      <x:c r="L737" s="133" t="n">
        <x:v>0.3115264797507788</x:v>
      </x:c>
      <x:c r="M737" s="133" t="n">
        <x:v>0.4219409282700422</x:v>
      </x:c>
      <x:c r="N737" s="133" t="n">
        <x:v>0</x:v>
      </x:c>
      <x:c r="O737" s="133" t="n">
        <x:v>0</x:v>
      </x:c>
      <x:c r="P737" s="132"/>
    </x:row>
    <x:row r="738">
      <x:c r="A738" s="136" t="str">
        <x:v>01043965700</x:v>
      </x:c>
      <x:c r="B738" s="132" t="str">
        <x:v>Cullman County</x:v>
      </x:c>
      <x:c r="C738" s="132" t="n">
        <x:v>0</x:v>
      </x:c>
      <x:c r="D738" s="134" t="n">
        <x:v>2952</x:v>
      </x:c>
      <x:c r="E738" s="133" t="n">
        <x:v>15.1</x:v>
      </x:c>
      <x:c r="F738" s="134" t="n">
        <x:v>1488</x:v>
      </x:c>
      <x:c r="G738" s="134" t="n">
        <x:v>0</x:v>
      </x:c>
      <x:c r="H738" s="134" t="n">
        <x:v>13</x:v>
      </x:c>
      <x:c r="I738" s="134" t="n">
        <x:v>7</x:v>
      </x:c>
      <x:c r="J738" s="133" t="n">
        <x:v>0.44037940379403795</x:v>
      </x:c>
      <x:c r="K738" s="133" t="n">
        <x:v>0.47043010752688175</x:v>
      </x:c>
      <x:c r="L738" s="133" t="n">
        <x:v>0.5208333333333334</x:v>
      </x:c>
      <x:c r="M738" s="133" t="n">
        <x:v>0.49019607843137253</x:v>
      </x:c>
      <x:c r="N738" s="133" t="n">
        <x:v>0</x:v>
      </x:c>
      <x:c r="O738" s="133" t="n">
        <x:v>0</x:v>
      </x:c>
      <x:c r="P738" s="132"/>
    </x:row>
    <x:row r="739">
      <x:c r="A739" s="136" t="str">
        <x:v>01049961300</x:v>
      </x:c>
      <x:c r="B739" s="132" t="str">
        <x:v>DeKalb County</x:v>
      </x:c>
      <x:c r="C739" s="132" t="n">
        <x:v>0</x:v>
      </x:c>
      <x:c r="D739" s="134" t="n">
        <x:v>5981</x:v>
      </x:c>
      <x:c r="E739" s="133" t="n">
        <x:v>41.7</x:v>
      </x:c>
      <x:c r="F739" s="134" t="n">
        <x:v>2539</x:v>
      </x:c>
      <x:c r="G739" s="134" t="n">
        <x:v>0</x:v>
      </x:c>
      <x:c r="H739" s="134" t="n">
        <x:v>16</x:v>
      </x:c>
      <x:c r="I739" s="134" t="n">
        <x:v>7</x:v>
      </x:c>
      <x:c r="J739" s="133" t="n">
        <x:v>0.2675137936799866</x:v>
      </x:c>
      <x:c r="K739" s="133" t="n">
        <x:v>0.27569909413154786</x:v>
      </x:c>
      <x:c r="L739" s="133" t="n">
        <x:v>0.2910360884749709</x:v>
      </x:c>
      <x:c r="M739" s="133" t="n">
        <x:v>0.23668639053254437</x:v>
      </x:c>
      <x:c r="N739" s="133" t="n">
        <x:v>0</x:v>
      </x:c>
      <x:c r="O739" s="133" t="n">
        <x:v>0.22727272727272727</x:v>
      </x:c>
      <x:c r="P739" s="132"/>
    </x:row>
    <x:row r="740">
      <x:c r="A740" s="136" t="str">
        <x:v>01051030702</x:v>
      </x:c>
      <x:c r="B740" s="132" t="str">
        <x:v>Elmore County</x:v>
      </x:c>
      <x:c r="C740" s="132" t="n">
        <x:v>0</x:v>
      </x:c>
      <x:c r="D740" s="134" t="n">
        <x:v>4073</x:v>
      </x:c>
      <x:c r="E740" s="133" t="n">
        <x:v>9.5</x:v>
      </x:c>
      <x:c r="F740" s="134" t="n">
        <x:v>3140</x:v>
      </x:c>
      <x:c r="G740" s="134" t="n">
        <x:v>0</x:v>
      </x:c>
      <x:c r="H740" s="134" t="n">
        <x:v>9</x:v>
      </x:c>
      <x:c r="I740" s="134" t="n">
        <x:v>7</x:v>
      </x:c>
      <x:c r="J740" s="133" t="n">
        <x:v>0.22096734593665604</x:v>
      </x:c>
      <x:c r="K740" s="133" t="n">
        <x:v>0.2229299363057325</x:v>
      </x:c>
      <x:c r="L740" s="133" t="n">
        <x:v>0.243605359317905</x:v>
      </x:c>
      <x:c r="M740" s="133" t="n">
        <x:v>0.20222446916076844</x:v>
      </x:c>
      <x:c r="N740" s="133" t="n">
        <x:v>0</x:v>
      </x:c>
      <x:c r="O740" s="133" t="n">
        <x:v>0</x:v>
      </x:c>
      <x:c r="P740" s="132"/>
    </x:row>
    <x:row r="741">
      <x:c r="A741" s="136" t="str">
        <x:v>01051030802</x:v>
      </x:c>
      <x:c r="B741" s="132" t="str">
        <x:v>Elmore County</x:v>
      </x:c>
      <x:c r="C741" s="132" t="n">
        <x:v>0</x:v>
      </x:c>
      <x:c r="D741" s="134" t="n">
        <x:v>4317</x:v>
      </x:c>
      <x:c r="E741" s="133" t="n">
        <x:v>15.2</x:v>
      </x:c>
      <x:c r="F741" s="134" t="n">
        <x:v>2900</x:v>
      </x:c>
      <x:c r="G741" s="134" t="n">
        <x:v>0</x:v>
      </x:c>
      <x:c r="H741" s="134" t="n">
        <x:v>10</x:v>
      </x:c>
      <x:c r="I741" s="134" t="n">
        <x:v>7</x:v>
      </x:c>
      <x:c r="J741" s="133" t="n">
        <x:v>0.23164234422052352</x:v>
      </x:c>
      <x:c r="K741" s="133" t="n">
        <x:v>0.2413793103448276</x:v>
      </x:c>
      <x:c r="L741" s="133" t="n">
        <x:v>0.28901734104046245</x:v>
      </x:c>
      <x:c r="M741" s="133" t="n">
        <x:v>0.27472527472527475</x:v>
      </x:c>
      <x:c r="N741" s="133" t="n">
        <x:v>0</x:v>
      </x:c>
      <x:c r="O741" s="133" t="n">
        <x:v>0</x:v>
      </x:c>
      <x:c r="P741" s="132"/>
    </x:row>
    <x:row r="742">
      <x:c r="A742" s="136" t="str">
        <x:v>01073003803</x:v>
      </x:c>
      <x:c r="B742" s="132" t="str">
        <x:v>Jefferson County</x:v>
      </x:c>
      <x:c r="C742" s="132" t="n">
        <x:v>1</x:v>
      </x:c>
      <x:c r="D742" s="134" t="n">
        <x:v>3547</x:v>
      </x:c>
      <x:c r="E742" s="133" t="n">
        <x:v>35</x:v>
      </x:c>
      <x:c r="F742" s="134" t="n">
        <x:v>1312</x:v>
      </x:c>
      <x:c r="G742" s="134" t="n">
        <x:v>0</x:v>
      </x:c>
      <x:c r="H742" s="134" t="n">
        <x:v>18</x:v>
      </x:c>
      <x:c r="I742" s="134" t="n">
        <x:v>7</x:v>
      </x:c>
      <x:c r="J742" s="133" t="n">
        <x:v>0.5074711023400056</x:v>
      </x:c>
      <x:c r="K742" s="133" t="n">
        <x:v>0.5335365853658537</x:v>
      </x:c>
      <x:c r="L742" s="133" t="n">
        <x:v>0.5730659025787965</x:v>
      </x:c>
      <x:c r="M742" s="133" t="n">
        <x:v>0.5376344086021505</x:v>
      </x:c>
      <x:c r="N742" s="133" t="n">
        <x:v>0.5882352941176471</x:v>
      </x:c>
      <x:c r="O742" s="133" t="n">
        <x:v>0.49382716049382713</x:v>
      </x:c>
      <x:c r="P742" s="132"/>
    </x:row>
    <x:row r="743">
      <x:c r="A743" s="136" t="str">
        <x:v>01087231400</x:v>
      </x:c>
      <x:c r="B743" s="132" t="str">
        <x:v>Macon County</x:v>
      </x:c>
      <x:c r="C743" s="132" t="n">
        <x:v>0</x:v>
      </x:c>
      <x:c r="D743" s="134" t="n">
        <x:v>1342</x:v>
      </x:c>
      <x:c r="E743" s="133" t="n">
        <x:v>19.2</x:v>
      </x:c>
      <x:c r="F743" s="134" t="n">
        <x:v>464</x:v>
      </x:c>
      <x:c r="G743" s="134" t="n">
        <x:v>0</x:v>
      </x:c>
      <x:c r="H743" s="134" t="n">
        <x:v>19</x:v>
      </x:c>
      <x:c r="I743" s="134" t="n">
        <x:v>7</x:v>
      </x:c>
      <x:c r="J743" s="133" t="n">
        <x:v>1.4157973174366616</x:v>
      </x:c>
      <x:c r="K743" s="133" t="n">
        <x:v>1.5086206896551724</x:v>
      </x:c>
      <x:c r="L743" s="133" t="n">
        <x:v>1.3100436681222707</x:v>
      </x:c>
      <x:c r="M743" s="133" t="n">
        <x:v>1.3513513513513513</x:v>
      </x:c>
      <x:c r="N743" s="133" t="n">
        <x:v>0</x:v>
      </x:c>
      <x:c r="O743" s="133" t="n">
        <x:v>1.5625</x:v>
      </x:c>
      <x:c r="P743" s="132"/>
    </x:row>
    <x:row r="744">
      <x:c r="A744" s="136" t="str">
        <x:v>01089003000</x:v>
      </x:c>
      <x:c r="B744" s="132" t="str">
        <x:v>Madison County</x:v>
      </x:c>
      <x:c r="C744" s="132" t="n">
        <x:v>1</x:v>
      </x:c>
      <x:c r="D744" s="134" t="n">
        <x:v>2837</x:v>
      </x:c>
      <x:c r="E744" s="133" t="n">
        <x:v>24.9</x:v>
      </x:c>
      <x:c r="F744" s="134" t="n">
        <x:v>1673</x:v>
      </x:c>
      <x:c r="G744" s="134" t="n">
        <x:v>0</x:v>
      </x:c>
      <x:c r="H744" s="134" t="n">
        <x:v>11</x:v>
      </x:c>
      <x:c r="I744" s="134" t="n">
        <x:v>7</x:v>
      </x:c>
      <x:c r="J744" s="133" t="n">
        <x:v>0.38773352132534367</x:v>
      </x:c>
      <x:c r="K744" s="133" t="n">
        <x:v>0.41841004184100417</x:v>
      </x:c>
      <x:c r="L744" s="133" t="n">
        <x:v>0.3189792663476874</x:v>
      </x:c>
      <x:c r="M744" s="133" t="n">
        <x:v>0.4140786749482402</x:v>
      </x:c>
      <x:c r="N744" s="133" t="n">
        <x:v>0.6097560975609756</x:v>
      </x:c>
      <x:c r="O744" s="133" t="n">
        <x:v>0.5747126436781609</x:v>
      </x:c>
      <x:c r="P744" s="132"/>
    </x:row>
    <x:row r="745">
      <x:c r="A745" s="136" t="str">
        <x:v>01089010200</x:v>
      </x:c>
      <x:c r="B745" s="132" t="str">
        <x:v>Madison County</x:v>
      </x:c>
      <x:c r="C745" s="132" t="n">
        <x:v>0</x:v>
      </x:c>
      <x:c r="D745" s="134" t="n">
        <x:v>6041</x:v>
      </x:c>
      <x:c r="E745" s="133" t="n">
        <x:v>5.1</x:v>
      </x:c>
      <x:c r="F745" s="134" t="n">
        <x:v>4964</x:v>
      </x:c>
      <x:c r="G745" s="134" t="n">
        <x:v>0</x:v>
      </x:c>
      <x:c r="H745" s="134" t="n">
        <x:v>9</x:v>
      </x:c>
      <x:c r="I745" s="134" t="n">
        <x:v>7</x:v>
      </x:c>
      <x:c r="J745" s="133" t="n">
        <x:v>0.14898195662969707</x:v>
      </x:c>
      <x:c r="K745" s="133" t="n">
        <x:v>0.14101531023368252</x:v>
      </x:c>
      <x:c r="L745" s="133" t="n">
        <x:v>0.14357501794687724</x:v>
      </x:c>
      <x:c r="M745" s="133" t="n">
        <x:v>0.1122334455667789</x:v>
      </x:c>
      <x:c r="N745" s="133" t="n">
        <x:v>0</x:v>
      </x:c>
      <x:c r="O745" s="133" t="n">
        <x:v>0</x:v>
      </x:c>
      <x:c r="P745" s="132"/>
    </x:row>
    <x:row r="746">
      <x:c r="A746" s="136" t="str">
        <x:v>01097001002</x:v>
      </x:c>
      <x:c r="B746" s="132" t="str">
        <x:v>Mobile County</x:v>
      </x:c>
      <x:c r="C746" s="132" t="n">
        <x:v>1</x:v>
      </x:c>
      <x:c r="D746" s="134" t="n">
        <x:v>1777</x:v>
      </x:c>
      <x:c r="E746" s="133" t="n">
        <x:v>5.5</x:v>
      </x:c>
      <x:c r="F746" s="134" t="n">
        <x:v>1029</x:v>
      </x:c>
      <x:c r="G746" s="134" t="n">
        <x:v>0</x:v>
      </x:c>
      <x:c r="H746" s="134" t="n">
        <x:v>12</x:v>
      </x:c>
      <x:c r="I746" s="134" t="n">
        <x:v>7</x:v>
      </x:c>
      <x:c r="J746" s="133" t="n">
        <x:v>0.6752954417557682</x:v>
      </x:c>
      <x:c r="K746" s="133" t="n">
        <x:v>0.6802721088435374</x:v>
      </x:c>
      <x:c r="L746" s="133" t="n">
        <x:v>0.6097560975609756</x:v>
      </x:c>
      <x:c r="M746" s="133" t="n">
        <x:v>0.6153846153846154</x:v>
      </x:c>
      <x:c r="N746" s="133" t="n">
        <x:v>0</x:v>
      </x:c>
      <x:c r="O746" s="133" t="n">
        <x:v>1</x:v>
      </x:c>
      <x:c r="P746" s="132"/>
    </x:row>
    <x:row r="747">
      <x:c r="A747" s="136" t="str">
        <x:v>01101002202</x:v>
      </x:c>
      <x:c r="B747" s="132" t="str">
        <x:v>Montgomery County</x:v>
      </x:c>
      <x:c r="C747" s="132" t="n">
        <x:v>1</x:v>
      </x:c>
      <x:c r="D747" s="134" t="n">
        <x:v>884</x:v>
      </x:c>
      <x:c r="E747" s="133" t="n">
        <x:v>29.4</x:v>
      </x:c>
      <x:c r="F747" s="134" t="n">
        <x:v>320</x:v>
      </x:c>
      <x:c r="G747" s="134" t="n">
        <x:v>0</x:v>
      </x:c>
      <x:c r="H747" s="134" t="n">
        <x:v>19</x:v>
      </x:c>
      <x:c r="I747" s="134" t="n">
        <x:v>7</x:v>
      </x:c>
      <x:c r="J747" s="133" t="n">
        <x:v>2.1493212669683257</x:v>
      </x:c>
      <x:c r="K747" s="133" t="n">
        <x:v>2.1875</x:v>
      </x:c>
      <x:c r="L747" s="133" t="n">
        <x:v>2.1164021164021163</x:v>
      </x:c>
      <x:c r="M747" s="133" t="n">
        <x:v>2.2988505747126435</x:v>
      </x:c>
      <x:c r="N747" s="133" t="n">
        <x:v>2.4390243902439024</x:v>
      </x:c>
      <x:c r="O747" s="133" t="n">
        <x:v>1.8691588785046729</x:v>
      </x:c>
      <x:c r="P747" s="132"/>
    </x:row>
    <x:row r="748">
      <x:c r="A748" s="136" t="str">
        <x:v>01121011302</x:v>
      </x:c>
      <x:c r="B748" s="132" t="str">
        <x:v>Talladega County</x:v>
      </x:c>
      <x:c r="C748" s="132" t="n">
        <x:v>0</x:v>
      </x:c>
      <x:c r="D748" s="134" t="n">
        <x:v>3052</x:v>
      </x:c>
      <x:c r="E748" s="133" t="n">
        <x:v>20.7</x:v>
      </x:c>
      <x:c r="F748" s="134" t="n">
        <x:v>1359</x:v>
      </x:c>
      <x:c r="G748" s="134" t="n">
        <x:v>0</x:v>
      </x:c>
      <x:c r="H748" s="134" t="n">
        <x:v>15</x:v>
      </x:c>
      <x:c r="I748" s="134" t="n">
        <x:v>7</x:v>
      </x:c>
      <x:c r="J748" s="133" t="n">
        <x:v>0.49148099606815204</x:v>
      </x:c>
      <x:c r="K748" s="133" t="n">
        <x:v>0.515084621044886</x:v>
      </x:c>
      <x:c r="L748" s="133" t="n">
        <x:v>0.4552352048558422</x:v>
      </x:c>
      <x:c r="M748" s="133" t="n">
        <x:v>0.5300353356890459</x:v>
      </x:c>
      <x:c r="N748" s="133" t="n">
        <x:v>0.4716981132075472</x:v>
      </x:c>
      <x:c r="O748" s="133" t="n">
        <x:v>0.42735042735042733</x:v>
      </x:c>
      <x:c r="P748" s="132"/>
    </x:row>
    <x:row r="749">
      <x:c r="A749" s="136" t="str">
        <x:v>01055001000</x:v>
      </x:c>
      <x:c r="B749" s="132" t="str">
        <x:v>Etowah County</x:v>
      </x:c>
      <x:c r="C749" s="132" t="n">
        <x:v>1</x:v>
      </x:c>
      <x:c r="D749" s="134" t="n">
        <x:v>1208</x:v>
      </x:c>
      <x:c r="E749" s="133" t="n">
        <x:v>39.2</x:v>
      </x:c>
      <x:c r="F749" s="134" t="n">
        <x:v>275</x:v>
      </x:c>
      <x:c r="G749" s="134" t="n">
        <x:v>0</x:v>
      </x:c>
      <x:c r="H749" s="134" t="n">
        <x:v>34</x:v>
      </x:c>
      <x:c r="I749" s="134" t="n">
        <x:v>8</x:v>
      </x:c>
      <x:c r="J749" s="133" t="n">
        <x:v>2.814569536423841</x:v>
      </x:c>
      <x:c r="K749" s="133" t="n">
        <x:v>2.909090909090909</x:v>
      </x:c>
      <x:c r="L749" s="133" t="n">
        <x:v>2.912621359223301</x:v>
      </x:c>
      <x:c r="M749" s="133" t="n">
        <x:v>3.0303030303030303</x:v>
      </x:c>
      <x:c r="N749" s="133" t="n">
        <x:v>2.4096385542168677</x:v>
      </x:c>
      <x:c r="O749" s="133" t="n">
        <x:v>2.7906976744186047</x:v>
      </x:c>
      <x:c r="P749" s="132"/>
    </x:row>
    <x:row r="750">
      <x:c r="A750" s="136" t="str">
        <x:v>01059973300</x:v>
      </x:c>
      <x:c r="B750" s="132" t="str">
        <x:v>Franklin County</x:v>
      </x:c>
      <x:c r="C750" s="132" t="n">
        <x:v>0</x:v>
      </x:c>
      <x:c r="D750" s="134" t="n">
        <x:v>3282</x:v>
      </x:c>
      <x:c r="E750" s="133" t="n">
        <x:v>21.7</x:v>
      </x:c>
      <x:c r="F750" s="134" t="n">
        <x:v>1185</x:v>
      </x:c>
      <x:c r="G750" s="134" t="n">
        <x:v>0</x:v>
      </x:c>
      <x:c r="H750" s="134" t="n">
        <x:v>22</x:v>
      </x:c>
      <x:c r="I750" s="134" t="n">
        <x:v>8</x:v>
      </x:c>
      <x:c r="J750" s="133" t="n">
        <x:v>0.6703229737964655</x:v>
      </x:c>
      <x:c r="K750" s="133" t="n">
        <x:v>0.6751054852320675</x:v>
      </x:c>
      <x:c r="L750" s="133" t="n">
        <x:v>0.7001166861143524</x:v>
      </x:c>
      <x:c r="M750" s="133" t="n">
        <x:v>0.6342494714587738</x:v>
      </x:c>
      <x:c r="N750" s="133" t="n">
        <x:v>0.8</x:v>
      </x:c>
      <x:c r="O750" s="133" t="n">
        <x:v>0.8403361344537815</x:v>
      </x:c>
      <x:c r="P750" s="132"/>
    </x:row>
    <x:row r="751">
      <x:c r="A751" s="136" t="str">
        <x:v>01063060102</x:v>
      </x:c>
      <x:c r="B751" s="132" t="str">
        <x:v>Greene County</x:v>
      </x:c>
      <x:c r="C751" s="132" t="n">
        <x:v>0</x:v>
      </x:c>
      <x:c r="D751" s="134" t="n">
        <x:v>2097</x:v>
      </x:c>
      <x:c r="E751" s="133" t="n">
        <x:v>39.2</x:v>
      </x:c>
      <x:c r="F751" s="134" t="n">
        <x:v>798</x:v>
      </x:c>
      <x:c r="G751" s="134" t="n">
        <x:v>0</x:v>
      </x:c>
      <x:c r="H751" s="134" t="n">
        <x:v>20</x:v>
      </x:c>
      <x:c r="I751" s="134" t="n">
        <x:v>8</x:v>
      </x:c>
      <x:c r="J751" s="133" t="n">
        <x:v>0.9537434430138293</x:v>
      </x:c>
      <x:c r="K751" s="133" t="n">
        <x:v>1.0025062656641603</x:v>
      </x:c>
      <x:c r="L751" s="133" t="n">
        <x:v>1.095890410958904</x:v>
      </x:c>
      <x:c r="M751" s="133" t="n">
        <x:v>1.0309278350515463</x:v>
      </x:c>
      <x:c r="N751" s="133" t="n">
        <x:v>0</x:v>
      </x:c>
      <x:c r="O751" s="133" t="n">
        <x:v>1.1235955056179776</x:v>
      </x:c>
      <x:c r="P751" s="132"/>
    </x:row>
    <x:row r="752">
      <x:c r="A752" s="136" t="str">
        <x:v>01073011704</x:v>
      </x:c>
      <x:c r="B752" s="132" t="str">
        <x:v>Jefferson County</x:v>
      </x:c>
      <x:c r="C752" s="132" t="n">
        <x:v>0</x:v>
      </x:c>
      <x:c r="D752" s="134" t="n">
        <x:v>4343</x:v>
      </x:c>
      <x:c r="E752" s="133" t="n">
        <x:v>3.5</x:v>
      </x:c>
      <x:c r="F752" s="134" t="n">
        <x:v>3180</x:v>
      </x:c>
      <x:c r="G752" s="134" t="n">
        <x:v>0</x:v>
      </x:c>
      <x:c r="H752" s="134" t="n">
        <x:v>10</x:v>
      </x:c>
      <x:c r="I752" s="134" t="n">
        <x:v>8</x:v>
      </x:c>
      <x:c r="J752" s="133" t="n">
        <x:v>0.23025558369790466</x:v>
      </x:c>
      <x:c r="K752" s="133" t="n">
        <x:v>0.25157232704402516</x:v>
      </x:c>
      <x:c r="L752" s="133" t="n">
        <x:v>0.22321428571428573</x:v>
      </x:c>
      <x:c r="M752" s="133" t="n">
        <x:v>0.22701475595913734</x:v>
      </x:c>
      <x:c r="N752" s="133" t="n">
        <x:v>0</x:v>
      </x:c>
      <x:c r="O752" s="133" t="n">
        <x:v>0</x:v>
      </x:c>
      <x:c r="P752" s="132"/>
    </x:row>
    <x:row r="753">
      <x:c r="A753" s="136" t="str">
        <x:v>01095030206</x:v>
      </x:c>
      <x:c r="B753" s="132" t="str">
        <x:v>Marshall County</x:v>
      </x:c>
      <x:c r="C753" s="132" t="n">
        <x:v>0</x:v>
      </x:c>
      <x:c r="D753" s="134" t="n">
        <x:v>3732</x:v>
      </x:c>
      <x:c r="E753" s="133" t="n">
        <x:v>6.2</x:v>
      </x:c>
      <x:c r="F753" s="134" t="n">
        <x:v>2869</x:v>
      </x:c>
      <x:c r="G753" s="134" t="n">
        <x:v>0</x:v>
      </x:c>
      <x:c r="H753" s="134" t="n">
        <x:v>10</x:v>
      </x:c>
      <x:c r="I753" s="134" t="n">
        <x:v>8</x:v>
      </x:c>
      <x:c r="J753" s="133" t="n">
        <x:v>0.2679528403001072</x:v>
      </x:c>
      <x:c r="K753" s="133" t="n">
        <x:v>0.27884280237016384</x:v>
      </x:c>
      <x:c r="L753" s="133" t="n">
        <x:v>0.3215434083601286</x:v>
      </x:c>
      <x:c r="M753" s="133" t="n">
        <x:v>0.30303030303030304</x:v>
      </x:c>
      <x:c r="N753" s="133"/>
      <x:c r="O753" s="133" t="n">
        <x:v>0</x:v>
      </x:c>
      <x:c r="P753" s="132"/>
    </x:row>
    <x:row r="754">
      <x:c r="A754" s="136" t="str">
        <x:v>01111000600</x:v>
      </x:c>
      <x:c r="B754" s="132" t="str">
        <x:v>Randolph County</x:v>
      </x:c>
      <x:c r="C754" s="132" t="n">
        <x:v>0</x:v>
      </x:c>
      <x:c r="D754" s="134" t="n">
        <x:v>1913</x:v>
      </x:c>
      <x:c r="E754" s="133" t="n">
        <x:v>33.6</x:v>
      </x:c>
      <x:c r="F754" s="134" t="n">
        <x:v>804</x:v>
      </x:c>
      <x:c r="G754" s="134" t="n">
        <x:v>0</x:v>
      </x:c>
      <x:c r="H754" s="134" t="n">
        <x:v>19</x:v>
      </x:c>
      <x:c r="I754" s="134" t="n">
        <x:v>8</x:v>
      </x:c>
      <x:c r="J754" s="133" t="n">
        <x:v>0.9932043910088866</x:v>
      </x:c>
      <x:c r="K754" s="133" t="n">
        <x:v>0.9950248756218906</x:v>
      </x:c>
      <x:c r="L754" s="133" t="n">
        <x:v>0.9975062344139651</x:v>
      </x:c>
      <x:c r="M754" s="133" t="n">
        <x:v>0.8902077151335311</x:v>
      </x:c>
      <x:c r="N754" s="133" t="n">
        <x:v>0</x:v>
      </x:c>
      <x:c r="O754" s="133" t="n">
        <x:v>0.8849557522123894</x:v>
      </x:c>
      <x:c r="P754" s="132"/>
    </x:row>
    <x:row r="755">
      <x:c r="A755" s="136" t="str">
        <x:v>01127021900</x:v>
      </x:c>
      <x:c r="B755" s="132" t="str">
        <x:v>Walker County</x:v>
      </x:c>
      <x:c r="C755" s="132" t="n">
        <x:v>0</x:v>
      </x:c>
      <x:c r="D755" s="134" t="n">
        <x:v>2246</x:v>
      </x:c>
      <x:c r="E755" s="133" t="n">
        <x:v>23.5</x:v>
      </x:c>
      <x:c r="F755" s="134" t="n">
        <x:v>1072</x:v>
      </x:c>
      <x:c r="G755" s="134" t="n">
        <x:v>0</x:v>
      </x:c>
      <x:c r="H755" s="134" t="n">
        <x:v>16</x:v>
      </x:c>
      <x:c r="I755" s="134" t="n">
        <x:v>8</x:v>
      </x:c>
      <x:c r="J755" s="133" t="n">
        <x:v>0.7123775601068566</x:v>
      </x:c>
      <x:c r="K755" s="133" t="n">
        <x:v>0.746268656716418</x:v>
      </x:c>
      <x:c r="L755" s="133" t="n">
        <x:v>0.6976744186046512</x:v>
      </x:c>
      <x:c r="M755" s="133" t="n">
        <x:v>0.6651884700665188</x:v>
      </x:c>
      <x:c r="N755" s="133" t="n">
        <x:v>0</x:v>
      </x:c>
      <x:c r="O755" s="133" t="n">
        <x:v>0.5494505494505495</x:v>
      </x:c>
      <x:c r="P755" s="132"/>
    </x:row>
    <x:row r="756">
      <x:c r="A756" s="136" t="str">
        <x:v>01003011604</x:v>
      </x:c>
      <x:c r="B756" s="132" t="str">
        <x:v>Baldwin County</x:v>
      </x:c>
      <x:c r="C756" s="132" t="n">
        <x:v>0</x:v>
      </x:c>
      <x:c r="D756" s="134" t="n">
        <x:v>2853</x:v>
      </x:c>
      <x:c r="E756" s="133" t="n">
        <x:v>10.1</x:v>
      </x:c>
      <x:c r="F756" s="134" t="n">
        <x:v>2336</x:v>
      </x:c>
      <x:c r="G756" s="134" t="n">
        <x:v>0</x:v>
      </x:c>
      <x:c r="H756" s="134" t="n">
        <x:v>11</x:v>
      </x:c>
      <x:c r="I756" s="134" t="n">
        <x:v>9</x:v>
      </x:c>
      <x:c r="J756" s="133" t="n">
        <x:v>0.385559060637925</x:v>
      </x:c>
      <x:c r="K756" s="133" t="n">
        <x:v>0.3852739726027397</x:v>
      </x:c>
      <x:c r="L756" s="133" t="n">
        <x:v>0.3472222222222222</x:v>
      </x:c>
      <x:c r="M756" s="133" t="n">
        <x:v>0.40584415584415584</x:v>
      </x:c>
      <x:c r="N756" s="133" t="n">
        <x:v>0</x:v>
      </x:c>
      <x:c r="O756" s="133" t="n">
        <x:v>0</x:v>
      </x:c>
      <x:c r="P756" s="132"/>
    </x:row>
    <x:row r="757">
      <x:c r="A757" s="136" t="str">
        <x:v>01019955801</x:v>
      </x:c>
      <x:c r="B757" s="132" t="str">
        <x:v>Cherokee County</x:v>
      </x:c>
      <x:c r="C757" s="132" t="n">
        <x:v>0</x:v>
      </x:c>
      <x:c r="D757" s="134" t="n">
        <x:v>2084</x:v>
      </x:c>
      <x:c r="E757" s="133" t="n">
        <x:v>13.4</x:v>
      </x:c>
      <x:c r="F757" s="134" t="n">
        <x:v>1117</x:v>
      </x:c>
      <x:c r="G757" s="134" t="n">
        <x:v>0</x:v>
      </x:c>
      <x:c r="H757" s="134" t="n">
        <x:v>17</x:v>
      </x:c>
      <x:c r="I757" s="134" t="n">
        <x:v>9</x:v>
      </x:c>
      <x:c r="J757" s="133" t="n">
        <x:v>0.8157389635316699</x:v>
      </x:c>
      <x:c r="K757" s="133" t="n">
        <x:v>0.8057296329453895</x:v>
      </x:c>
      <x:c r="L757" s="133" t="n">
        <x:v>0.7772020725388601</x:v>
      </x:c>
      <x:c r="M757" s="133" t="n">
        <x:v>0.8048289738430584</x:v>
      </x:c>
      <x:c r="N757" s="133" t="n">
        <x:v>0</x:v>
      </x:c>
      <x:c r="O757" s="133" t="n">
        <x:v>1.25</x:v>
      </x:c>
      <x:c r="P757" s="132"/>
    </x:row>
    <x:row r="758">
      <x:c r="A758" s="136" t="str">
        <x:v>01039962400</x:v>
      </x:c>
      <x:c r="B758" s="132" t="str">
        <x:v>Covington County</x:v>
      </x:c>
      <x:c r="C758" s="132" t="n">
        <x:v>0</x:v>
      </x:c>
      <x:c r="D758" s="134" t="n">
        <x:v>3440</x:v>
      </x:c>
      <x:c r="E758" s="133" t="n">
        <x:v>19.7</x:v>
      </x:c>
      <x:c r="F758" s="134" t="n">
        <x:v>1880</x:v>
      </x:c>
      <x:c r="G758" s="134" t="n">
        <x:v>0</x:v>
      </x:c>
      <x:c r="H758" s="134" t="n">
        <x:v>17</x:v>
      </x:c>
      <x:c r="I758" s="134" t="n">
        <x:v>9</x:v>
      </x:c>
      <x:c r="J758" s="133" t="n">
        <x:v>0.4941860465116279</x:v>
      </x:c>
      <x:c r="K758" s="133" t="n">
        <x:v>0.4787234042553192</x:v>
      </x:c>
      <x:c r="L758" s="133" t="n">
        <x:v>0.5449591280653951</x:v>
      </x:c>
      <x:c r="M758" s="133" t="n">
        <x:v>0.468384074941452</x:v>
      </x:c>
      <x:c r="N758" s="133" t="n">
        <x:v>0</x:v>
      </x:c>
      <x:c r="O758" s="133" t="n">
        <x:v>0.7407407407407407</x:v>
      </x:c>
      <x:c r="P758" s="132"/>
    </x:row>
    <x:row r="759">
      <x:c r="A759" s="136" t="str">
        <x:v>01069041000</x:v>
      </x:c>
      <x:c r="B759" s="132" t="str">
        <x:v>Houston County</x:v>
      </x:c>
      <x:c r="C759" s="132" t="n">
        <x:v>1</x:v>
      </x:c>
      <x:c r="D759" s="134" t="n">
        <x:v>5071</x:v>
      </x:c>
      <x:c r="E759" s="133" t="n">
        <x:v>33</x:v>
      </x:c>
      <x:c r="F759" s="134" t="n">
        <x:v>1910</x:v>
      </x:c>
      <x:c r="G759" s="134" t="n">
        <x:v>0</x:v>
      </x:c>
      <x:c r="H759" s="134" t="n">
        <x:v>24</x:v>
      </x:c>
      <x:c r="I759" s="134" t="n">
        <x:v>9</x:v>
      </x:c>
      <x:c r="J759" s="133" t="n">
        <x:v>0.47327943206468154</x:v>
      </x:c>
      <x:c r="K759" s="133" t="n">
        <x:v>0.4712041884816754</x:v>
      </x:c>
      <x:c r="L759" s="133" t="n">
        <x:v>0.45836516424751717</x:v>
      </x:c>
      <x:c r="M759" s="133" t="n">
        <x:v>0.4836759371221282</x:v>
      </x:c>
      <x:c r="N759" s="133" t="n">
        <x:v>0.40160642570281124</x:v>
      </x:c>
      <x:c r="O759" s="133" t="n">
        <x:v>0.4322766570605187</x:v>
      </x:c>
      <x:c r="P759" s="132"/>
    </x:row>
    <x:row r="760">
      <x:c r="A760" s="136" t="str">
        <x:v>01073010604</x:v>
      </x:c>
      <x:c r="B760" s="132" t="str">
        <x:v>Jefferson County</x:v>
      </x:c>
      <x:c r="C760" s="132" t="n">
        <x:v>1</x:v>
      </x:c>
      <x:c r="D760" s="134" t="n">
        <x:v>4595</x:v>
      </x:c>
      <x:c r="E760" s="133" t="n">
        <x:v>46.8</x:v>
      </x:c>
      <x:c r="F760" s="134" t="n">
        <x:v>1573</x:v>
      </x:c>
      <x:c r="G760" s="134" t="n">
        <x:v>0</x:v>
      </x:c>
      <x:c r="H760" s="134" t="n">
        <x:v>25</x:v>
      </x:c>
      <x:c r="I760" s="134" t="n">
        <x:v>9</x:v>
      </x:c>
      <x:c r="J760" s="133" t="n">
        <x:v>0.544069640914037</x:v>
      </x:c>
      <x:c r="K760" s="133" t="n">
        <x:v>0.5721551176096631</x:v>
      </x:c>
      <x:c r="L760" s="133" t="n">
        <x:v>0.5780346820809249</x:v>
      </x:c>
      <x:c r="M760" s="133" t="n">
        <x:v>0.6142506142506142</x:v>
      </x:c>
      <x:c r="N760" s="133" t="n">
        <x:v>0.46511627906976744</x:v>
      </x:c>
      <x:c r="O760" s="133" t="n">
        <x:v>0.5274261603375527</x:v>
      </x:c>
      <x:c r="P760" s="132"/>
    </x:row>
    <x:row r="761">
      <x:c r="A761" s="136" t="str">
        <x:v>01073011706</x:v>
      </x:c>
      <x:c r="B761" s="132" t="str">
        <x:v>Jefferson County</x:v>
      </x:c>
      <x:c r="C761" s="132" t="n">
        <x:v>0</x:v>
      </x:c>
      <x:c r="D761" s="134" t="n">
        <x:v>2304</x:v>
      </x:c>
      <x:c r="E761" s="133" t="n">
        <x:v>7.3</x:v>
      </x:c>
      <x:c r="F761" s="134" t="n">
        <x:v>1441</x:v>
      </x:c>
      <x:c r="G761" s="134" t="n">
        <x:v>0</x:v>
      </x:c>
      <x:c r="H761" s="134" t="n">
        <x:v>14</x:v>
      </x:c>
      <x:c r="I761" s="134" t="n">
        <x:v>9</x:v>
      </x:c>
      <x:c r="J761" s="133" t="n">
        <x:v>0.6076388888888888</x:v>
      </x:c>
      <x:c r="K761" s="133" t="n">
        <x:v>0.6245662734212353</x:v>
      </x:c>
      <x:c r="L761" s="133" t="n">
        <x:v>0.5415162454873647</x:v>
      </x:c>
      <x:c r="M761" s="133" t="n">
        <x:v>0.4914004914004914</x:v>
      </x:c>
      <x:c r="N761" s="133" t="n">
        <x:v>0</x:v>
      </x:c>
      <x:c r="O761" s="133" t="n">
        <x:v>0</x:v>
      </x:c>
      <x:c r="P761" s="132"/>
    </x:row>
    <x:row r="762">
      <x:c r="A762" s="136" t="str">
        <x:v>01095030601</x:v>
      </x:c>
      <x:c r="B762" s="132" t="str">
        <x:v>Marshall County</x:v>
      </x:c>
      <x:c r="C762" s="132" t="n">
        <x:v>0</x:v>
      </x:c>
      <x:c r="D762" s="134" t="n">
        <x:v>2927</x:v>
      </x:c>
      <x:c r="E762" s="133" t="n">
        <x:v>6.6</x:v>
      </x:c>
      <x:c r="F762" s="134" t="n">
        <x:v>2028</x:v>
      </x:c>
      <x:c r="G762" s="134" t="n">
        <x:v>0</x:v>
      </x:c>
      <x:c r="H762" s="134" t="n">
        <x:v>12</x:v>
      </x:c>
      <x:c r="I762" s="134" t="n">
        <x:v>9</x:v>
      </x:c>
      <x:c r="J762" s="133" t="n">
        <x:v>0.40997608472839087</x:v>
      </x:c>
      <x:c r="K762" s="133" t="n">
        <x:v>0.4437869822485207</x:v>
      </x:c>
      <x:c r="L762" s="133" t="n">
        <x:v>0.4573170731707317</x:v>
      </x:c>
      <x:c r="M762" s="133" t="n">
        <x:v>0.47770700636942676</x:v>
      </x:c>
      <x:c r="N762" s="133" t="n">
        <x:v>0</x:v>
      </x:c>
      <x:c r="O762" s="133" t="n">
        <x:v>0</x:v>
      </x:c>
      <x:c r="P762" s="132"/>
    </x:row>
    <x:row r="763">
      <x:c r="A763" s="136" t="str">
        <x:v>01103005704</x:v>
      </x:c>
      <x:c r="B763" s="132" t="str">
        <x:v>Morgan County</x:v>
      </x:c>
      <x:c r="C763" s="132" t="n">
        <x:v>0</x:v>
      </x:c>
      <x:c r="D763" s="134" t="n">
        <x:v>3112</x:v>
      </x:c>
      <x:c r="E763" s="133" t="n">
        <x:v>6.2</x:v>
      </x:c>
      <x:c r="F763" s="134" t="n">
        <x:v>2259</x:v>
      </x:c>
      <x:c r="G763" s="134" t="n">
        <x:v>0</x:v>
      </x:c>
      <x:c r="H763" s="134" t="n">
        <x:v>13</x:v>
      </x:c>
      <x:c r="I763" s="134" t="n">
        <x:v>9</x:v>
      </x:c>
      <x:c r="J763" s="133" t="n">
        <x:v>0.41773778920308485</x:v>
      </x:c>
      <x:c r="K763" s="133" t="n">
        <x:v>0.398406374501992</x:v>
      </x:c>
      <x:c r="L763" s="133" t="n">
        <x:v>0.4754358161648177</x:v>
      </x:c>
      <x:c r="M763" s="133" t="n">
        <x:v>0.45941807044410415</x:v>
      </x:c>
      <x:c r="N763" s="133" t="n">
        <x:v>0</x:v>
      </x:c>
      <x:c r="O763" s="133" t="n">
        <x:v>0</x:v>
      </x:c>
      <x:c r="P763" s="132"/>
    </x:row>
    <x:row r="764">
      <x:c r="A764" s="136" t="str">
        <x:v>01109189300</x:v>
      </x:c>
      <x:c r="B764" s="132" t="str">
        <x:v>Pike County</x:v>
      </x:c>
      <x:c r="C764" s="132" t="n">
        <x:v>0</x:v>
      </x:c>
      <x:c r="D764" s="134" t="n">
        <x:v>4188</x:v>
      </x:c>
      <x:c r="E764" s="133" t="n">
        <x:v>23.6</x:v>
      </x:c>
      <x:c r="F764" s="134" t="n">
        <x:v>1956</x:v>
      </x:c>
      <x:c r="G764" s="134" t="n">
        <x:v>0</x:v>
      </x:c>
      <x:c r="H764" s="134" t="n">
        <x:v>19</x:v>
      </x:c>
      <x:c r="I764" s="134" t="n">
        <x:v>9</x:v>
      </x:c>
      <x:c r="J764" s="133" t="n">
        <x:v>0.45367717287488063</x:v>
      </x:c>
      <x:c r="K764" s="133" t="n">
        <x:v>0.4601226993865031</x:v>
      </x:c>
      <x:c r="L764" s="133" t="n">
        <x:v>0.45454545454545453</x:v>
      </x:c>
      <x:c r="M764" s="133" t="n">
        <x:v>0.437636761487965</x:v>
      </x:c>
      <x:c r="N764" s="133" t="n">
        <x:v>0.7518796992481203</x:v>
      </x:c>
      <x:c r="O764" s="133" t="n">
        <x:v>0.5128205128205128</x:v>
      </x:c>
      <x:c r="P764" s="132"/>
    </x:row>
    <x:row r="765">
      <x:c r="A765" s="136" t="str">
        <x:v>01115040401</x:v>
      </x:c>
      <x:c r="B765" s="132" t="str">
        <x:v>St. Clair County</x:v>
      </x:c>
      <x:c r="C765" s="132" t="n">
        <x:v>0</x:v>
      </x:c>
      <x:c r="D765" s="134" t="n">
        <x:v>5078</x:v>
      </x:c>
      <x:c r="E765" s="133" t="n">
        <x:v>12.4</x:v>
      </x:c>
      <x:c r="F765" s="134" t="n">
        <x:v>2917</x:v>
      </x:c>
      <x:c r="G765" s="134" t="n">
        <x:v>0</x:v>
      </x:c>
      <x:c r="H765" s="134" t="n">
        <x:v>15</x:v>
      </x:c>
      <x:c r="I765" s="134" t="n">
        <x:v>9</x:v>
      </x:c>
      <x:c r="J765" s="133" t="n">
        <x:v>0.29539188656951554</x:v>
      </x:c>
      <x:c r="K765" s="133" t="n">
        <x:v>0.30853616729516625</x:v>
      </x:c>
      <x:c r="L765" s="133" t="n">
        <x:v>0.27002700270027</x:v>
      </x:c>
      <x:c r="M765" s="133" t="n">
        <x:v>0.30991735537190085</x:v>
      </x:c>
      <x:c r="N765" s="133" t="n">
        <x:v>0</x:v>
      </x:c>
      <x:c r="O765" s="133" t="n">
        <x:v>0.5813953488372093</x:v>
      </x:c>
      <x:c r="P765" s="132"/>
    </x:row>
    <x:row r="766">
      <x:c r="A766" s="136" t="str">
        <x:v>01117030102</x:v>
      </x:c>
      <x:c r="B766" s="132" t="str">
        <x:v>Shelby County</x:v>
      </x:c>
      <x:c r="C766" s="132" t="n">
        <x:v>0</x:v>
      </x:c>
      <x:c r="D766" s="134" t="n">
        <x:v>3983</x:v>
      </x:c>
      <x:c r="E766" s="133" t="n">
        <x:v>16.7</x:v>
      </x:c>
      <x:c r="F766" s="134" t="n">
        <x:v>2336</x:v>
      </x:c>
      <x:c r="G766" s="134" t="n">
        <x:v>0</x:v>
      </x:c>
      <x:c r="H766" s="134" t="n">
        <x:v>16</x:v>
      </x:c>
      <x:c r="I766" s="134" t="n">
        <x:v>9</x:v>
      </x:c>
      <x:c r="J766" s="133" t="n">
        <x:v>0.40170725583730854</x:v>
      </x:c>
      <x:c r="K766" s="133" t="n">
        <x:v>0.3852739726027397</x:v>
      </x:c>
      <x:c r="L766" s="133" t="n">
        <x:v>0.35377358490566035</x:v>
      </x:c>
      <x:c r="M766" s="133" t="n">
        <x:v>0.36585365853658536</x:v>
      </x:c>
      <x:c r="N766" s="133" t="n">
        <x:v>0</x:v>
      </x:c>
      <x:c r="O766" s="133" t="n">
        <x:v>0.44052863436123346</x:v>
      </x:c>
      <x:c r="P766" s="132"/>
    </x:row>
    <x:row r="767">
      <x:c r="A767" s="136" t="str">
        <x:v>01121010900</x:v>
      </x:c>
      <x:c r="B767" s="132" t="str">
        <x:v>Talladega County</x:v>
      </x:c>
      <x:c r="C767" s="132" t="n">
        <x:v>1</x:v>
      </x:c>
      <x:c r="D767" s="134" t="n">
        <x:v>3225</x:v>
      </x:c>
      <x:c r="E767" s="133" t="n">
        <x:v>22.2</x:v>
      </x:c>
      <x:c r="F767" s="134" t="n">
        <x:v>1807</x:v>
      </x:c>
      <x:c r="G767" s="134" t="n">
        <x:v>0</x:v>
      </x:c>
      <x:c r="H767" s="134" t="n">
        <x:v>16</x:v>
      </x:c>
      <x:c r="I767" s="134" t="n">
        <x:v>9</x:v>
      </x:c>
      <x:c r="J767" s="133" t="n">
        <x:v>0.49612403100775193</x:v>
      </x:c>
      <x:c r="K767" s="133" t="n">
        <x:v>0.49806308799114557</x:v>
      </x:c>
      <x:c r="L767" s="133" t="n">
        <x:v>0.4291845493562232</x:v>
      </x:c>
      <x:c r="M767" s="133" t="n">
        <x:v>0.5398110661268556</x:v>
      </x:c>
      <x:c r="N767" s="133" t="n">
        <x:v>0</x:v>
      </x:c>
      <x:c r="O767" s="133" t="n">
        <x:v>0.45045045045045046</x:v>
      </x:c>
      <x:c r="P767" s="132"/>
    </x:row>
    <x:row r="768">
      <x:c r="A768" s="136" t="str">
        <x:v>01005950600</x:v>
      </x:c>
      <x:c r="B768" s="132" t="str">
        <x:v>Barbour County</x:v>
      </x:c>
      <x:c r="C768" s="132" t="n">
        <x:v>0</x:v>
      </x:c>
      <x:c r="D768" s="134" t="n">
        <x:v>1858</x:v>
      </x:c>
      <x:c r="E768" s="133" t="n">
        <x:v>28</x:v>
      </x:c>
      <x:c r="F768" s="134" t="n">
        <x:v>737</x:v>
      </x:c>
      <x:c r="G768" s="134" t="n">
        <x:v>0</x:v>
      </x:c>
      <x:c r="H768" s="134" t="n">
        <x:v>25</x:v>
      </x:c>
      <x:c r="I768" s="134" t="n">
        <x:v>10</x:v>
      </x:c>
      <x:c r="J768" s="133" t="n">
        <x:v>1.3455328310010763</x:v>
      </x:c>
      <x:c r="K768" s="133" t="n">
        <x:v>1.3568521031207599</x:v>
      </x:c>
      <x:c r="L768" s="133" t="n">
        <x:v>1.3574660633484164</x:v>
      </x:c>
      <x:c r="M768" s="133" t="n">
        <x:v>1.5105740181268883</x:v>
      </x:c>
      <x:c r="N768" s="133" t="n">
        <x:v>0.9259259259259259</x:v>
      </x:c>
      <x:c r="O768" s="133" t="n">
        <x:v>1.1173184357541899</x:v>
      </x:c>
      <x:c r="P768" s="132"/>
    </x:row>
    <x:row r="769">
      <x:c r="A769" s="136" t="str">
        <x:v>01009050107</x:v>
      </x:c>
      <x:c r="B769" s="132" t="str">
        <x:v>Blount County</x:v>
      </x:c>
      <x:c r="C769" s="132" t="n">
        <x:v>0</x:v>
      </x:c>
      <x:c r="D769" s="134" t="n">
        <x:v>2975</x:v>
      </x:c>
      <x:c r="E769" s="133" t="n">
        <x:v>16.2</x:v>
      </x:c>
      <x:c r="F769" s="134" t="n">
        <x:v>1851</x:v>
      </x:c>
      <x:c r="G769" s="134" t="n">
        <x:v>0</x:v>
      </x:c>
      <x:c r="H769" s="134" t="n">
        <x:v>16</x:v>
      </x:c>
      <x:c r="I769" s="134" t="n">
        <x:v>10</x:v>
      </x:c>
      <x:c r="J769" s="133" t="n">
        <x:v>0.5378151260504201</x:v>
      </x:c>
      <x:c r="K769" s="133" t="n">
        <x:v>0.5402485143165856</x:v>
      </x:c>
      <x:c r="L769" s="133" t="n">
        <x:v>0.5830903790087464</x:v>
      </x:c>
      <x:c r="M769" s="133" t="n">
        <x:v>0.5025125628140703</x:v>
      </x:c>
      <x:c r="N769" s="133" t="n">
        <x:v>0</x:v>
      </x:c>
      <x:c r="O769" s="133" t="n">
        <x:v>1.0526315789473684</x:v>
      </x:c>
      <x:c r="P769" s="132"/>
    </x:row>
    <x:row r="770">
      <x:c r="A770" s="136" t="str">
        <x:v>01015001101</x:v>
      </x:c>
      <x:c r="B770" s="132" t="str">
        <x:v>Calhoun County</x:v>
      </x:c>
      <x:c r="C770" s="132" t="n">
        <x:v>0</x:v>
      </x:c>
      <x:c r="D770" s="134" t="n">
        <x:v>1772</x:v>
      </x:c>
      <x:c r="E770" s="133" t="n">
        <x:v>2.3</x:v>
      </x:c>
      <x:c r="F770" s="134" t="n">
        <x:v>1680</x:v>
      </x:c>
      <x:c r="G770" s="134" t="n">
        <x:v>0</x:v>
      </x:c>
      <x:c r="H770" s="134" t="n">
        <x:v>11</x:v>
      </x:c>
      <x:c r="I770" s="134" t="n">
        <x:v>10</x:v>
      </x:c>
      <x:c r="J770" s="133" t="n">
        <x:v>0.6207674943566591</x:v>
      </x:c>
      <x:c r="K770" s="133" t="n">
        <x:v>0.5952380952380952</x:v>
      </x:c>
      <x:c r="L770" s="133" t="n">
        <x:v>0.5681818181818182</x:v>
      </x:c>
      <x:c r="M770" s="133" t="n">
        <x:v>0.6472491909385113</x:v>
      </x:c>
      <x:c r="N770" s="133"/>
      <x:c r="O770" s="133" t="n">
        <x:v>0</x:v>
      </x:c>
      <x:c r="P770" s="132"/>
    </x:row>
    <x:row r="771">
      <x:c r="A771" s="136" t="str">
        <x:v>01039963000</x:v>
      </x:c>
      <x:c r="B771" s="132" t="str">
        <x:v>Covington County</x:v>
      </x:c>
      <x:c r="C771" s="132" t="n">
        <x:v>0</x:v>
      </x:c>
      <x:c r="D771" s="134" t="n">
        <x:v>3448</x:v>
      </x:c>
      <x:c r="E771" s="133" t="n">
        <x:v>18.2</x:v>
      </x:c>
      <x:c r="F771" s="134" t="n">
        <x:v>2018</x:v>
      </x:c>
      <x:c r="G771" s="134" t="n">
        <x:v>0</x:v>
      </x:c>
      <x:c r="H771" s="134" t="n">
        <x:v>17</x:v>
      </x:c>
      <x:c r="I771" s="134" t="n">
        <x:v>10</x:v>
      </x:c>
      <x:c r="J771" s="133" t="n">
        <x:v>0.49303944315545245</x:v>
      </x:c>
      <x:c r="K771" s="133" t="n">
        <x:v>0.49554013875123887</x:v>
      </x:c>
      <x:c r="L771" s="133" t="n">
        <x:v>0.4484304932735426</x:v>
      </x:c>
      <x:c r="M771" s="133" t="n">
        <x:v>0.47904191616766467</x:v>
      </x:c>
      <x:c r="N771" s="133" t="n">
        <x:v>0.7142857142857143</x:v>
      </x:c>
      <x:c r="O771" s="133" t="n">
        <x:v>0.3831417624521073</x:v>
      </x:c>
      <x:c r="P771" s="132"/>
    </x:row>
    <x:row r="772">
      <x:c r="A772" s="136" t="str">
        <x:v>01055010900</x:v>
      </x:c>
      <x:c r="B772" s="132" t="str">
        <x:v>Etowah County</x:v>
      </x:c>
      <x:c r="C772" s="132" t="n">
        <x:v>0</x:v>
      </x:c>
      <x:c r="D772" s="134" t="n">
        <x:v>1789</x:v>
      </x:c>
      <x:c r="E772" s="133" t="n">
        <x:v>7.8</x:v>
      </x:c>
      <x:c r="F772" s="134" t="n">
        <x:v>1295</x:v>
      </x:c>
      <x:c r="G772" s="134" t="n">
        <x:v>0</x:v>
      </x:c>
      <x:c r="H772" s="134" t="n">
        <x:v>14</x:v>
      </x:c>
      <x:c r="I772" s="134" t="n">
        <x:v>10</x:v>
      </x:c>
      <x:c r="J772" s="133" t="n">
        <x:v>0.7825600894354388</x:v>
      </x:c>
      <x:c r="K772" s="133" t="n">
        <x:v>0.7722007722007722</x:v>
      </x:c>
      <x:c r="L772" s="133" t="n">
        <x:v>0.7792207792207793</x:v>
      </x:c>
      <x:c r="M772" s="133" t="n">
        <x:v>0.8086253369272237</x:v>
      </x:c>
      <x:c r="N772" s="133" t="n">
        <x:v>0</x:v>
      </x:c>
      <x:c r="O772" s="133" t="n">
        <x:v>1.2048192771084338</x:v>
      </x:c>
      <x:c r="P772" s="132"/>
    </x:row>
    <x:row r="773">
      <x:c r="A773" s="136" t="str">
        <x:v>01073014207</x:v>
      </x:c>
      <x:c r="B773" s="132" t="str">
        <x:v>Jefferson County</x:v>
      </x:c>
      <x:c r="C773" s="132" t="n">
        <x:v>0</x:v>
      </x:c>
      <x:c r="D773" s="134" t="n">
        <x:v>6349</x:v>
      </x:c>
      <x:c r="E773" s="133" t="n">
        <x:v>8.9</x:v>
      </x:c>
      <x:c r="F773" s="134" t="n">
        <x:v>5258</x:v>
      </x:c>
      <x:c r="G773" s="134" t="n">
        <x:v>0</x:v>
      </x:c>
      <x:c r="H773" s="134" t="n">
        <x:v>12</x:v>
      </x:c>
      <x:c r="I773" s="134" t="n">
        <x:v>10</x:v>
      </x:c>
      <x:c r="J773" s="133" t="n">
        <x:v>0.18900614269963772</x:v>
      </x:c>
      <x:c r="K773" s="133" t="n">
        <x:v>0.1901863826550019</x:v>
      </x:c>
      <x:c r="L773" s="133" t="n">
        <x:v>0.21413276231263384</x:v>
      </x:c>
      <x:c r="M773" s="133" t="n">
        <x:v>0.20080321285140562</x:v>
      </x:c>
      <x:c r="N773" s="133" t="n">
        <x:v>0</x:v>
      </x:c>
      <x:c r="O773" s="133" t="n">
        <x:v>0</x:v>
      </x:c>
      <x:c r="P773" s="132"/>
    </x:row>
    <x:row r="774">
      <x:c r="A774" s="136" t="str">
        <x:v>01089010905</x:v>
      </x:c>
      <x:c r="B774" s="132" t="str">
        <x:v>Madison County</x:v>
      </x:c>
      <x:c r="C774" s="132" t="n">
        <x:v>0</x:v>
      </x:c>
      <x:c r="D774" s="134" t="n">
        <x:v>8213</x:v>
      </x:c>
      <x:c r="E774" s="133" t="n">
        <x:v>1.2</x:v>
      </x:c>
      <x:c r="F774" s="134" t="n">
        <x:v>7375</x:v>
      </x:c>
      <x:c r="G774" s="134" t="n">
        <x:v>0</x:v>
      </x:c>
      <x:c r="H774" s="134" t="n">
        <x:v>11</x:v>
      </x:c>
      <x:c r="I774" s="134" t="n">
        <x:v>10</x:v>
      </x:c>
      <x:c r="J774" s="133" t="n">
        <x:v>0.13393400706197492</x:v>
      </x:c>
      <x:c r="K774" s="133" t="n">
        <x:v>0.13559322033898305</x:v>
      </x:c>
      <x:c r="L774" s="133" t="n">
        <x:v>0.15159171298635674</x:v>
      </x:c>
      <x:c r="M774" s="133" t="n">
        <x:v>0.1303780964797914</x:v>
      </x:c>
      <x:c r="N774" s="133" t="n">
        <x:v>0</x:v>
      </x:c>
      <x:c r="O774" s="133" t="n">
        <x:v>0</x:v>
      </x:c>
      <x:c r="P774" s="132"/>
    </x:row>
    <x:row r="775">
      <x:c r="A775" s="136" t="str">
        <x:v>01089011400</x:v>
      </x:c>
      <x:c r="B775" s="132" t="str">
        <x:v>Madison County</x:v>
      </x:c>
      <x:c r="C775" s="132" t="n">
        <x:v>0</x:v>
      </x:c>
      <x:c r="D775" s="134" t="n">
        <x:v>4443</x:v>
      </x:c>
      <x:c r="E775" s="133" t="n">
        <x:v>16.4</x:v>
      </x:c>
      <x:c r="F775" s="134" t="n">
        <x:v>2343</x:v>
      </x:c>
      <x:c r="G775" s="134" t="n">
        <x:v>0</x:v>
      </x:c>
      <x:c r="H775" s="134" t="n">
        <x:v>20</x:v>
      </x:c>
      <x:c r="I775" s="134" t="n">
        <x:v>10</x:v>
      </x:c>
      <x:c r="J775" s="133" t="n">
        <x:v>0.45014629754670266</x:v>
      </x:c>
      <x:c r="K775" s="133" t="n">
        <x:v>0.42680324370465217</x:v>
      </x:c>
      <x:c r="L775" s="133" t="n">
        <x:v>0.4192872117400419</x:v>
      </x:c>
      <x:c r="M775" s="133" t="n">
        <x:v>0.5006257822277848</x:v>
      </x:c>
      <x:c r="N775" s="133" t="n">
        <x:v>0</x:v>
      </x:c>
      <x:c r="O775" s="133" t="n">
        <x:v>0.5494505494505495</x:v>
      </x:c>
      <x:c r="P775" s="132"/>
    </x:row>
    <x:row r="776">
      <x:c r="A776" s="136" t="str">
        <x:v>01097005702</x:v>
      </x:c>
      <x:c r="B776" s="132" t="str">
        <x:v>Mobile County</x:v>
      </x:c>
      <x:c r="C776" s="132" t="n">
        <x:v>0</x:v>
      </x:c>
      <x:c r="D776" s="134" t="n">
        <x:v>3211</x:v>
      </x:c>
      <x:c r="E776" s="133" t="n">
        <x:v>6.4</x:v>
      </x:c>
      <x:c r="F776" s="134" t="n">
        <x:v>3056</x:v>
      </x:c>
      <x:c r="G776" s="134" t="n">
        <x:v>0</x:v>
      </x:c>
      <x:c r="H776" s="134" t="n">
        <x:v>11</x:v>
      </x:c>
      <x:c r="I776" s="134" t="n">
        <x:v>10</x:v>
      </x:c>
      <x:c r="J776" s="133" t="n">
        <x:v>0.34257240734973526</x:v>
      </x:c>
      <x:c r="K776" s="133" t="n">
        <x:v>0.32722513089005234</x:v>
      </x:c>
      <x:c r="L776" s="133" t="n">
        <x:v>0.2766251728907331</x:v>
      </x:c>
      <x:c r="M776" s="133" t="n">
        <x:v>0.3508771929824561</x:v>
      </x:c>
      <x:c r="N776" s="133" t="n">
        <x:v>0</x:v>
      </x:c>
      <x:c r="O776" s="133" t="n">
        <x:v>0</x:v>
      </x:c>
      <x:c r="P776" s="132"/>
    </x:row>
    <x:row r="777">
      <x:c r="A777" s="136" t="str">
        <x:v>01101005700</x:v>
      </x:c>
      <x:c r="B777" s="132" t="str">
        <x:v>Montgomery County</x:v>
      </x:c>
      <x:c r="C777" s="132" t="n">
        <x:v>0</x:v>
      </x:c>
      <x:c r="D777" s="134" t="n">
        <x:v>1417</x:v>
      </x:c>
      <x:c r="E777" s="133" t="n">
        <x:v>27</x:v>
      </x:c>
      <x:c r="F777" s="134" t="n">
        <x:v>676</x:v>
      </x:c>
      <x:c r="G777" s="134" t="n">
        <x:v>0</x:v>
      </x:c>
      <x:c r="H777" s="134" t="n">
        <x:v>21</x:v>
      </x:c>
      <x:c r="I777" s="134" t="n">
        <x:v>10</x:v>
      </x:c>
      <x:c r="J777" s="133" t="n">
        <x:v>1.4820042342978124</x:v>
      </x:c>
      <x:c r="K777" s="133" t="n">
        <x:v>1.4792899408284024</x:v>
      </x:c>
      <x:c r="L777" s="133" t="n">
        <x:v>1.492537313432836</x:v>
      </x:c>
      <x:c r="M777" s="133" t="n">
        <x:v>1.4619883040935673</x:v>
      </x:c>
      <x:c r="N777" s="133" t="n">
        <x:v>0</x:v>
      </x:c>
      <x:c r="O777" s="133" t="n">
        <x:v>1.5384615384615385</x:v>
      </x:c>
      <x:c r="P777" s="132"/>
    </x:row>
    <x:row r="778">
      <x:c r="A778" s="136" t="str">
        <x:v>01103000100</x:v>
      </x:c>
      <x:c r="B778" s="132" t="str">
        <x:v>Morgan County</x:v>
      </x:c>
      <x:c r="C778" s="132" t="n">
        <x:v>1</x:v>
      </x:c>
      <x:c r="D778" s="134" t="n">
        <x:v>4185</x:v>
      </x:c>
      <x:c r="E778" s="133" t="n">
        <x:v>28.4</x:v>
      </x:c>
      <x:c r="F778" s="134" t="n">
        <x:v>1765</x:v>
      </x:c>
      <x:c r="G778" s="134" t="n">
        <x:v>0</x:v>
      </x:c>
      <x:c r="H778" s="134" t="n">
        <x:v>25</x:v>
      </x:c>
      <x:c r="I778" s="134" t="n">
        <x:v>10</x:v>
      </x:c>
      <x:c r="J778" s="133" t="n">
        <x:v>0.5973715651135006</x:v>
      </x:c>
      <x:c r="K778" s="133" t="n">
        <x:v>0.56657223796034</x:v>
      </x:c>
      <x:c r="L778" s="133" t="n">
        <x:v>0.5484460694698354</x:v>
      </x:c>
      <x:c r="M778" s="133" t="n">
        <x:v>0.5326231691078562</x:v>
      </x:c>
      <x:c r="N778" s="133" t="n">
        <x:v>0.7874015748031497</x:v>
      </x:c>
      <x:c r="O778" s="133" t="n">
        <x:v>0.546448087431694</x:v>
      </x:c>
      <x:c r="P778" s="132"/>
    </x:row>
    <x:row r="779">
      <x:c r="A779" s="136" t="str">
        <x:v>01107050300</x:v>
      </x:c>
      <x:c r="B779" s="132" t="str">
        <x:v>Pickens County</x:v>
      </x:c>
      <x:c r="C779" s="132" t="n">
        <x:v>0</x:v>
      </x:c>
      <x:c r="D779" s="134" t="n">
        <x:v>4886</x:v>
      </x:c>
      <x:c r="E779" s="133" t="n">
        <x:v>22.1</x:v>
      </x:c>
      <x:c r="F779" s="134" t="n">
        <x:v>1405</x:v>
      </x:c>
      <x:c r="G779" s="134" t="n">
        <x:v>0</x:v>
      </x:c>
      <x:c r="H779" s="134" t="n">
        <x:v>33</x:v>
      </x:c>
      <x:c r="I779" s="134" t="n">
        <x:v>10</x:v>
      </x:c>
      <x:c r="J779" s="133" t="n">
        <x:v>0.6753990994678674</x:v>
      </x:c>
      <x:c r="K779" s="133" t="n">
        <x:v>0.7117437722419929</x:v>
      </x:c>
      <x:c r="L779" s="133" t="n">
        <x:v>0.7112375533428165</x:v>
      </x:c>
      <x:c r="M779" s="133" t="n">
        <x:v>0.7496251874062968</x:v>
      </x:c>
      <x:c r="N779" s="133" t="n">
        <x:v>1.2345679012345678</x:v>
      </x:c>
      <x:c r="O779" s="133" t="n">
        <x:v>0.8368200836820083</x:v>
      </x:c>
      <x:c r="P779" s="132"/>
    </x:row>
    <x:row r="780">
      <x:c r="A780" s="136" t="str">
        <x:v>01117030350</x:v>
      </x:c>
      <x:c r="B780" s="132" t="str">
        <x:v>Shelby County</x:v>
      </x:c>
      <x:c r="C780" s="132" t="n">
        <x:v>0</x:v>
      </x:c>
      <x:c r="D780" s="134" t="n">
        <x:v>3004</x:v>
      </x:c>
      <x:c r="E780" s="133" t="n">
        <x:v>2.2</x:v>
      </x:c>
      <x:c r="F780" s="134" t="n">
        <x:v>3088</x:v>
      </x:c>
      <x:c r="G780" s="134" t="n">
        <x:v>0</x:v>
      </x:c>
      <x:c r="H780" s="134" t="n">
        <x:v>10</x:v>
      </x:c>
      <x:c r="I780" s="134" t="n">
        <x:v>10</x:v>
      </x:c>
      <x:c r="J780" s="133" t="n">
        <x:v>0.33288948069241014</x:v>
      </x:c>
      <x:c r="K780" s="133" t="n">
        <x:v>0.3238341968911917</x:v>
      </x:c>
      <x:c r="L780" s="133" t="n">
        <x:v>0.2728512960436562</x:v>
      </x:c>
      <x:c r="M780" s="133" t="n">
        <x:v>0.26737967914438504</x:v>
      </x:c>
      <x:c r="N780" s="133" t="n">
        <x:v>0</x:v>
      </x:c>
      <x:c r="O780" s="133"/>
      <x:c r="P780" s="132"/>
    </x:row>
    <x:row r="781">
      <x:c r="A781" s="136" t="str">
        <x:v>01009050601</x:v>
      </x:c>
      <x:c r="B781" s="132" t="str">
        <x:v>Blount County</x:v>
      </x:c>
      <x:c r="C781" s="132" t="n">
        <x:v>0</x:v>
      </x:c>
      <x:c r="D781" s="134" t="n">
        <x:v>4166</x:v>
      </x:c>
      <x:c r="E781" s="133" t="n">
        <x:v>10.7</x:v>
      </x:c>
      <x:c r="F781" s="134" t="n">
        <x:v>2684</x:v>
      </x:c>
      <x:c r="G781" s="134" t="n">
        <x:v>0</x:v>
      </x:c>
      <x:c r="H781" s="134" t="n">
        <x:v>17</x:v>
      </x:c>
      <x:c r="I781" s="134" t="n">
        <x:v>11</x:v>
      </x:c>
      <x:c r="J781" s="133" t="n">
        <x:v>0.40806529044647144</x:v>
      </x:c>
      <x:c r="K781" s="133" t="n">
        <x:v>0.4098360655737705</x:v>
      </x:c>
      <x:c r="L781" s="133" t="n">
        <x:v>0.40858018386108275</x:v>
      </x:c>
      <x:c r="M781" s="133" t="n">
        <x:v>0.41208791208791207</x:v>
      </x:c>
      <x:c r="N781" s="133" t="n">
        <x:v>0</x:v>
      </x:c>
      <x:c r="O781" s="133" t="n">
        <x:v>0</x:v>
      </x:c>
      <x:c r="P781" s="132"/>
    </x:row>
    <x:row r="782">
      <x:c r="A782" s="136" t="str">
        <x:v>01027959000</x:v>
      </x:c>
      <x:c r="B782" s="132" t="str">
        <x:v>Clay County</x:v>
      </x:c>
      <x:c r="C782" s="132" t="n">
        <x:v>0</x:v>
      </x:c>
      <x:c r="D782" s="134" t="n">
        <x:v>3205</x:v>
      </x:c>
      <x:c r="E782" s="133" t="n">
        <x:v>21.7</x:v>
      </x:c>
      <x:c r="F782" s="134" t="n">
        <x:v>1548</x:v>
      </x:c>
      <x:c r="G782" s="134" t="n">
        <x:v>0</x:v>
      </x:c>
      <x:c r="H782" s="134" t="n">
        <x:v>23</x:v>
      </x:c>
      <x:c r="I782" s="134" t="n">
        <x:v>11</x:v>
      </x:c>
      <x:c r="J782" s="133" t="n">
        <x:v>0.717628705148206</x:v>
      </x:c>
      <x:c r="K782" s="133" t="n">
        <x:v>0.710594315245478</x:v>
      </x:c>
      <x:c r="L782" s="133" t="n">
        <x:v>0.7886435331230284</x:v>
      </x:c>
      <x:c r="M782" s="133" t="n">
        <x:v>0.6887052341597796</x:v>
      </x:c>
      <x:c r="N782" s="133" t="n">
        <x:v>0.6451612903225806</x:v>
      </x:c>
      <x:c r="O782" s="133" t="n">
        <x:v>0.7547169811320755</x:v>
      </x:c>
      <x:c r="P782" s="132"/>
    </x:row>
    <x:row r="783">
      <x:c r="A783" s="136" t="str">
        <x:v>01067030300</x:v>
      </x:c>
      <x:c r="B783" s="132" t="str">
        <x:v>Henry County</x:v>
      </x:c>
      <x:c r="C783" s="132" t="n">
        <x:v>0</x:v>
      </x:c>
      <x:c r="D783" s="134" t="n">
        <x:v>2994</x:v>
      </x:c>
      <x:c r="E783" s="133" t="n">
        <x:v>29.2</x:v>
      </x:c>
      <x:c r="F783" s="134" t="n">
        <x:v>1610</x:v>
      </x:c>
      <x:c r="G783" s="134" t="n">
        <x:v>0</x:v>
      </x:c>
      <x:c r="H783" s="134" t="n">
        <x:v>20</x:v>
      </x:c>
      <x:c r="I783" s="134" t="n">
        <x:v>11</x:v>
      </x:c>
      <x:c r="J783" s="133" t="n">
        <x:v>0.6680026720106881</x:v>
      </x:c>
      <x:c r="K783" s="133" t="n">
        <x:v>0.6832298136645962</x:v>
      </x:c>
      <x:c r="L783" s="133" t="n">
        <x:v>0.702576112412178</x:v>
      </x:c>
      <x:c r="M783" s="133" t="n">
        <x:v>0.6430868167202572</x:v>
      </x:c>
      <x:c r="N783" s="133" t="n">
        <x:v>0</x:v>
      </x:c>
      <x:c r="O783" s="133" t="n">
        <x:v>0.6172839506172839</x:v>
      </x:c>
      <x:c r="P783" s="132"/>
    </x:row>
    <x:row r="784">
      <x:c r="A784" s="136" t="str">
        <x:v>01073000700</x:v>
      </x:c>
      <x:c r="B784" s="132" t="str">
        <x:v>Jefferson County</x:v>
      </x:c>
      <x:c r="C784" s="132" t="n">
        <x:v>1</x:v>
      </x:c>
      <x:c r="D784" s="134" t="n">
        <x:v>2252</x:v>
      </x:c>
      <x:c r="E784" s="133" t="n">
        <x:v>64.1</x:v>
      </x:c>
      <x:c r="F784" s="134" t="n">
        <x:v>336</x:v>
      </x:c>
      <x:c r="G784" s="134" t="n">
        <x:v>0</x:v>
      </x:c>
      <x:c r="H784" s="134" t="n">
        <x:v>76</x:v>
      </x:c>
      <x:c r="I784" s="134" t="n">
        <x:v>11</x:v>
      </x:c>
      <x:c r="J784" s="133" t="n">
        <x:v>3.374777975133215</x:v>
      </x:c>
      <x:c r="K784" s="133" t="n">
        <x:v>3.2738095238095237</x:v>
      </x:c>
      <x:c r="L784" s="133" t="n">
        <x:v>3.3692722371967654</x:v>
      </x:c>
      <x:c r="M784" s="133" t="n">
        <x:v>3.4161490683229814</x:v>
      </x:c>
      <x:c r="N784" s="133" t="n">
        <x:v>3.2</x:v>
      </x:c>
      <x:c r="O784" s="133" t="n">
        <x:v>3.4031413612565444</x:v>
      </x:c>
      <x:c r="P784" s="132"/>
    </x:row>
    <x:row r="785">
      <x:c r="A785" s="136" t="str">
        <x:v>01073005702</x:v>
      </x:c>
      <x:c r="B785" s="132" t="str">
        <x:v>Jefferson County</x:v>
      </x:c>
      <x:c r="C785" s="132" t="n">
        <x:v>1</x:v>
      </x:c>
      <x:c r="D785" s="134" t="n">
        <x:v>3079</x:v>
      </x:c>
      <x:c r="E785" s="133" t="n">
        <x:v>21.9</x:v>
      </x:c>
      <x:c r="F785" s="134" t="n">
        <x:v>1260</x:v>
      </x:c>
      <x:c r="G785" s="134" t="n">
        <x:v>0</x:v>
      </x:c>
      <x:c r="H785" s="134" t="n">
        <x:v>27</x:v>
      </x:c>
      <x:c r="I785" s="134" t="n">
        <x:v>11</x:v>
      </x:c>
      <x:c r="J785" s="133" t="n">
        <x:v>0.8769080870412471</x:v>
      </x:c>
      <x:c r="K785" s="133" t="n">
        <x:v>0.873015873015873</x:v>
      </x:c>
      <x:c r="L785" s="133" t="n">
        <x:v>0.8130081300813008</x:v>
      </x:c>
      <x:c r="M785" s="133" t="n">
        <x:v>0.8793969849246231</x:v>
      </x:c>
      <x:c r="N785" s="133" t="n">
        <x:v>1.0471204188481675</x:v>
      </x:c>
      <x:c r="O785" s="133" t="n">
        <x:v>1</x:v>
      </x:c>
      <x:c r="P785" s="132"/>
    </x:row>
    <x:row r="786">
      <x:c r="A786" s="136" t="str">
        <x:v>01097002302</x:v>
      </x:c>
      <x:c r="B786" s="132" t="str">
        <x:v>Mobile County</x:v>
      </x:c>
      <x:c r="C786" s="132" t="n">
        <x:v>1</x:v>
      </x:c>
      <x:c r="D786" s="134" t="n">
        <x:v>1584</x:v>
      </x:c>
      <x:c r="E786" s="133" t="n">
        <x:v>17</x:v>
      </x:c>
      <x:c r="F786" s="134" t="n">
        <x:v>766</x:v>
      </x:c>
      <x:c r="G786" s="134" t="n">
        <x:v>0</x:v>
      </x:c>
      <x:c r="H786" s="134" t="n">
        <x:v>22</x:v>
      </x:c>
      <x:c r="I786" s="134" t="n">
        <x:v>11</x:v>
      </x:c>
      <x:c r="J786" s="133" t="n">
        <x:v>1.3888888888888888</x:v>
      </x:c>
      <x:c r="K786" s="133" t="n">
        <x:v>1.4360313315926894</x:v>
      </x:c>
      <x:c r="L786" s="133" t="n">
        <x:v>1.3404825737265416</x:v>
      </x:c>
      <x:c r="M786" s="133" t="n">
        <x:v>1.3623978201634876</x:v>
      </x:c>
      <x:c r="N786" s="133" t="n">
        <x:v>0</x:v>
      </x:c>
      <x:c r="O786" s="133" t="n">
        <x:v>1.2987012987012987</x:v>
      </x:c>
      <x:c r="P786" s="132"/>
    </x:row>
    <x:row r="787">
      <x:c r="A787" s="136" t="str">
        <x:v>01101001100</x:v>
      </x:c>
      <x:c r="B787" s="132" t="str">
        <x:v>Montgomery County</x:v>
      </x:c>
      <x:c r="C787" s="132" t="n">
        <x:v>1</x:v>
      </x:c>
      <x:c r="D787" s="134" t="n">
        <x:v>2684</x:v>
      </x:c>
      <x:c r="E787" s="133" t="n">
        <x:v>30.7</x:v>
      </x:c>
      <x:c r="F787" s="134" t="n">
        <x:v>433</x:v>
      </x:c>
      <x:c r="G787" s="134" t="n">
        <x:v>0</x:v>
      </x:c>
      <x:c r="H787" s="134" t="n">
        <x:v>69</x:v>
      </x:c>
      <x:c r="I787" s="134" t="n">
        <x:v>11</x:v>
      </x:c>
      <x:c r="J787" s="133" t="n">
        <x:v>2.570789865871833</x:v>
      </x:c>
      <x:c r="K787" s="133" t="n">
        <x:v>2.540415704387991</x:v>
      </x:c>
      <x:c r="L787" s="133" t="n">
        <x:v>2.6315789473684212</x:v>
      </x:c>
      <x:c r="M787" s="133" t="n">
        <x:v>2.5044722719141324</x:v>
      </x:c>
      <x:c r="N787" s="133" t="n">
        <x:v>2.5380710659898478</x:v>
      </x:c>
      <x:c r="O787" s="133" t="n">
        <x:v>2.6156941649899395</x:v>
      </x:c>
      <x:c r="P787" s="132"/>
    </x:row>
    <x:row r="788">
      <x:c r="A788" s="136" t="str">
        <x:v>01109189101</x:v>
      </x:c>
      <x:c r="B788" s="132" t="str">
        <x:v>Pike County</x:v>
      </x:c>
      <x:c r="C788" s="132" t="n">
        <x:v>1</x:v>
      </x:c>
      <x:c r="D788" s="134" t="n">
        <x:v>4248</x:v>
      </x:c>
      <x:c r="E788" s="133" t="n">
        <x:v>49.2</x:v>
      </x:c>
      <x:c r="F788" s="134" t="n">
        <x:v>569</x:v>
      </x:c>
      <x:c r="G788" s="134" t="n">
        <x:v>0</x:v>
      </x:c>
      <x:c r="H788" s="134" t="n">
        <x:v>81</x:v>
      </x:c>
      <x:c r="I788" s="134" t="n">
        <x:v>11</x:v>
      </x:c>
      <x:c r="J788" s="133" t="n">
        <x:v>1.9067796610169492</x:v>
      </x:c>
      <x:c r="K788" s="133" t="n">
        <x:v>1.9332161687170475</x:v>
      </x:c>
      <x:c r="L788" s="133" t="n">
        <x:v>2.0080321285140563</x:v>
      </x:c>
      <x:c r="M788" s="133" t="n">
        <x:v>1.7241379310344827</x:v>
      </x:c>
      <x:c r="N788" s="133" t="n">
        <x:v>1.5384615384615385</x:v>
      </x:c>
      <x:c r="O788" s="133" t="n">
        <x:v>1.9169329073482428</x:v>
      </x:c>
      <x:c r="P788" s="132"/>
    </x:row>
    <x:row r="789">
      <x:c r="A789" s="136" t="str">
        <x:v>01115040302</x:v>
      </x:c>
      <x:c r="B789" s="132" t="str">
        <x:v>St. Clair County</x:v>
      </x:c>
      <x:c r="C789" s="132" t="n">
        <x:v>0</x:v>
      </x:c>
      <x:c r="D789" s="134" t="n">
        <x:v>2771</x:v>
      </x:c>
      <x:c r="E789" s="133" t="n">
        <x:v>29.2</x:v>
      </x:c>
      <x:c r="F789" s="134" t="n">
        <x:v>1310</x:v>
      </x:c>
      <x:c r="G789" s="134" t="n">
        <x:v>0</x:v>
      </x:c>
      <x:c r="H789" s="134" t="n">
        <x:v>23</x:v>
      </x:c>
      <x:c r="I789" s="134" t="n">
        <x:v>11</x:v>
      </x:c>
      <x:c r="J789" s="133" t="n">
        <x:v>0.8300252616383977</x:v>
      </x:c>
      <x:c r="K789" s="133" t="n">
        <x:v>0.8396946564885496</x:v>
      </x:c>
      <x:c r="L789" s="133" t="n">
        <x:v>0.8547008547008547</x:v>
      </x:c>
      <x:c r="M789" s="133" t="n">
        <x:v>0.9074410163339383</x:v>
      </x:c>
      <x:c r="N789" s="133" t="n">
        <x:v>1.5873015873015872</x:v>
      </x:c>
      <x:c r="O789" s="133" t="n">
        <x:v>0.8733624454148472</x:v>
      </x:c>
      <x:c r="P789" s="132"/>
    </x:row>
    <x:row r="790">
      <x:c r="A790" s="136" t="str">
        <x:v>01007010006</x:v>
      </x:c>
      <x:c r="B790" s="132" t="str">
        <x:v>Bibb County</x:v>
      </x:c>
      <x:c r="C790" s="132" t="n">
        <x:v>0</x:v>
      </x:c>
      <x:c r="D790" s="134" t="n">
        <x:v>1728</x:v>
      </x:c>
      <x:c r="E790" s="133" t="n">
        <x:v>24.3</x:v>
      </x:c>
      <x:c r="F790" s="134" t="n">
        <x:v>837</x:v>
      </x:c>
      <x:c r="G790" s="134" t="n">
        <x:v>0</x:v>
      </x:c>
      <x:c r="H790" s="134" t="n">
        <x:v>24</x:v>
      </x:c>
      <x:c r="I790" s="134" t="n">
        <x:v>12</x:v>
      </x:c>
      <x:c r="J790" s="133" t="n">
        <x:v>1.3888888888888888</x:v>
      </x:c>
      <x:c r="K790" s="133" t="n">
        <x:v>1.4336917562724014</x:v>
      </x:c>
      <x:c r="L790" s="133" t="n">
        <x:v>1.3761467889908257</x:v>
      </x:c>
      <x:c r="M790" s="133" t="n">
        <x:v>1.271186440677966</x:v>
      </x:c>
      <x:c r="N790" s="133" t="n">
        <x:v>0</x:v>
      </x:c>
      <x:c r="O790" s="133" t="n">
        <x:v>1.8518518518518519</x:v>
      </x:c>
      <x:c r="P790" s="132"/>
    </x:row>
    <x:row r="791">
      <x:c r="A791" s="136" t="str">
        <x:v>01029959700</x:v>
      </x:c>
      <x:c r="B791" s="132" t="str">
        <x:v>Cleburne County</x:v>
      </x:c>
      <x:c r="C791" s="132" t="n">
        <x:v>0</x:v>
      </x:c>
      <x:c r="D791" s="134" t="n">
        <x:v>3523</x:v>
      </x:c>
      <x:c r="E791" s="133" t="n">
        <x:v>9.5</x:v>
      </x:c>
      <x:c r="F791" s="134" t="n">
        <x:v>2014</x:v>
      </x:c>
      <x:c r="G791" s="134" t="n">
        <x:v>0</x:v>
      </x:c>
      <x:c r="H791" s="134" t="n">
        <x:v>20</x:v>
      </x:c>
      <x:c r="I791" s="134" t="n">
        <x:v>12</x:v>
      </x:c>
      <x:c r="J791" s="133" t="n">
        <x:v>0.5676979846721544</x:v>
      </x:c>
      <x:c r="K791" s="133" t="n">
        <x:v>0.5958291956305859</x:v>
      </x:c>
      <x:c r="L791" s="133" t="n">
        <x:v>0.6289308176100629</x:v>
      </x:c>
      <x:c r="M791" s="133" t="n">
        <x:v>0.5610098176718092</x:v>
      </x:c>
      <x:c r="N791" s="133" t="n">
        <x:v>0</x:v>
      </x:c>
      <x:c r="O791" s="133" t="n">
        <x:v>0.4784688995215311</x:v>
      </x:c>
      <x:c r="P791" s="132"/>
    </x:row>
    <x:row r="792">
      <x:c r="A792" s="136" t="str">
        <x:v>01047956101</x:v>
      </x:c>
      <x:c r="B792" s="132" t="str">
        <x:v>Dallas County</x:v>
      </x:c>
      <x:c r="C792" s="132" t="n">
        <x:v>0</x:v>
      </x:c>
      <x:c r="D792" s="134" t="n">
        <x:v>3889</x:v>
      </x:c>
      <x:c r="E792" s="133" t="n">
        <x:v>22.4</x:v>
      </x:c>
      <x:c r="F792" s="134" t="n">
        <x:v>1190</x:v>
      </x:c>
      <x:c r="G792" s="134" t="n">
        <x:v>0</x:v>
      </x:c>
      <x:c r="H792" s="134" t="n">
        <x:v>38</x:v>
      </x:c>
      <x:c r="I792" s="134" t="n">
        <x:v>12</x:v>
      </x:c>
      <x:c r="J792" s="133" t="n">
        <x:v>0.9771149395731551</x:v>
      </x:c>
      <x:c r="K792" s="133" t="n">
        <x:v>1.0084033613445378</x:v>
      </x:c>
      <x:c r="L792" s="133" t="n">
        <x:v>0.9696969696969697</x:v>
      </x:c>
      <x:c r="M792" s="133" t="n">
        <x:v>1</x:v>
      </x:c>
      <x:c r="N792" s="133" t="n">
        <x:v>0.7352941176470589</x:v>
      </x:c>
      <x:c r="O792" s="133" t="n">
        <x:v>1.0869565217391304</x:v>
      </x:c>
      <x:c r="P792" s="132"/>
    </x:row>
    <x:row r="793">
      <x:c r="A793" s="136" t="str">
        <x:v>01055001200</x:v>
      </x:c>
      <x:c r="B793" s="132" t="str">
        <x:v>Etowah County</x:v>
      </x:c>
      <x:c r="C793" s="132" t="n">
        <x:v>1</x:v>
      </x:c>
      <x:c r="D793" s="134" t="n">
        <x:v>3101</x:v>
      </x:c>
      <x:c r="E793" s="133" t="n">
        <x:v>25.7</x:v>
      </x:c>
      <x:c r="F793" s="134" t="n">
        <x:v>1218</x:v>
      </x:c>
      <x:c r="G793" s="134" t="n">
        <x:v>0</x:v>
      </x:c>
      <x:c r="H793" s="134" t="n">
        <x:v>31</x:v>
      </x:c>
      <x:c r="I793" s="134" t="n">
        <x:v>12</x:v>
      </x:c>
      <x:c r="J793" s="133" t="n">
        <x:v>0.999677523379555</x:v>
      </x:c>
      <x:c r="K793" s="133" t="n">
        <x:v>0.9852216748768473</x:v>
      </x:c>
      <x:c r="L793" s="133" t="n">
        <x:v>1.0060362173038229</x:v>
      </x:c>
      <x:c r="M793" s="133" t="n">
        <x:v>1.0452961672473868</x:v>
      </x:c>
      <x:c r="N793" s="133" t="n">
        <x:v>0.8771929824561403</x:v>
      </x:c>
      <x:c r="O793" s="133" t="n">
        <x:v>0.9950248756218906</x:v>
      </x:c>
      <x:c r="P793" s="132"/>
    </x:row>
    <x:row r="794">
      <x:c r="A794" s="136" t="str">
        <x:v>01071950700</x:v>
      </x:c>
      <x:c r="B794" s="132" t="str">
        <x:v>Jackson County</x:v>
      </x:c>
      <x:c r="C794" s="132" t="n">
        <x:v>0</x:v>
      </x:c>
      <x:c r="D794" s="134" t="n">
        <x:v>4654</x:v>
      </x:c>
      <x:c r="E794" s="133" t="n">
        <x:v>20.8</x:v>
      </x:c>
      <x:c r="F794" s="134" t="n">
        <x:v>2947</x:v>
      </x:c>
      <x:c r="G794" s="134" t="n">
        <x:v>0</x:v>
      </x:c>
      <x:c r="H794" s="134" t="n">
        <x:v>19</x:v>
      </x:c>
      <x:c r="I794" s="134" t="n">
        <x:v>12</x:v>
      </x:c>
      <x:c r="J794" s="133" t="n">
        <x:v>0.4082509669101848</x:v>
      </x:c>
      <x:c r="K794" s="133" t="n">
        <x:v>0.40719375636240246</x:v>
      </x:c>
      <x:c r="L794" s="133" t="n">
        <x:v>0.4519774011299435</x:v>
      </x:c>
      <x:c r="M794" s="133" t="n">
        <x:v>0.4048582995951417</x:v>
      </x:c>
      <x:c r="N794" s="133" t="n">
        <x:v>0</x:v>
      </x:c>
      <x:c r="O794" s="133" t="n">
        <x:v>0.352112676056338</x:v>
      </x:c>
      <x:c r="P794" s="132"/>
    </x:row>
    <x:row r="795">
      <x:c r="A795" s="136" t="str">
        <x:v>01073005103</x:v>
      </x:c>
      <x:c r="B795" s="132" t="str">
        <x:v>Jefferson County</x:v>
      </x:c>
      <x:c r="C795" s="132" t="n">
        <x:v>1</x:v>
      </x:c>
      <x:c r="D795" s="134" t="n">
        <x:v>2575</x:v>
      </x:c>
      <x:c r="E795" s="133" t="n">
        <x:v>32.4</x:v>
      </x:c>
      <x:c r="F795" s="134" t="n">
        <x:v>1392</x:v>
      </x:c>
      <x:c r="G795" s="134" t="n">
        <x:v>0</x:v>
      </x:c>
      <x:c r="H795" s="134" t="n">
        <x:v>23</x:v>
      </x:c>
      <x:c r="I795" s="134" t="n">
        <x:v>12</x:v>
      </x:c>
      <x:c r="J795" s="133" t="n">
        <x:v>0.8932038834951457</x:v>
      </x:c>
      <x:c r="K795" s="133" t="n">
        <x:v>0.8620689655172413</x:v>
      </x:c>
      <x:c r="L795" s="133" t="n">
        <x:v>0.8771929824561403</x:v>
      </x:c>
      <x:c r="M795" s="133" t="n">
        <x:v>0.8968609865470852</x:v>
      </x:c>
      <x:c r="N795" s="133" t="n">
        <x:v>0.7751937984496124</x:v>
      </x:c>
      <x:c r="O795" s="133" t="n">
        <x:v>0.9433962264150944</x:v>
      </x:c>
      <x:c r="P795" s="132"/>
    </x:row>
    <x:row r="796">
      <x:c r="A796" s="136" t="str">
        <x:v>01079979900</x:v>
      </x:c>
      <x:c r="B796" s="132" t="str">
        <x:v>Lawrence County</x:v>
      </x:c>
      <x:c r="C796" s="132" t="n">
        <x:v>0</x:v>
      </x:c>
      <x:c r="D796" s="134" t="n">
        <x:v>1840</x:v>
      </x:c>
      <x:c r="E796" s="133" t="n">
        <x:v>15.3</x:v>
      </x:c>
      <x:c r="F796" s="134" t="n">
        <x:v>1117</x:v>
      </x:c>
      <x:c r="G796" s="134" t="n">
        <x:v>0</x:v>
      </x:c>
      <x:c r="H796" s="134" t="n">
        <x:v>20</x:v>
      </x:c>
      <x:c r="I796" s="134" t="n">
        <x:v>12</x:v>
      </x:c>
      <x:c r="J796" s="133" t="n">
        <x:v>1.0869565217391304</x:v>
      </x:c>
      <x:c r="K796" s="133" t="n">
        <x:v>1.0743061772605194</x:v>
      </x:c>
      <x:c r="L796" s="133" t="n">
        <x:v>1.1655011655011656</x:v>
      </x:c>
      <x:c r="M796" s="133" t="n">
        <x:v>0.9900990099009901</x:v>
      </x:c>
      <x:c r="N796" s="133" t="n">
        <x:v>0</x:v>
      </x:c>
      <x:c r="O796" s="133" t="n">
        <x:v>2.127659574468085</x:v>
      </x:c>
      <x:c r="P796" s="132"/>
    </x:row>
    <x:row r="797">
      <x:c r="A797" s="136" t="str">
        <x:v>01101001600</x:v>
      </x:c>
      <x:c r="B797" s="132" t="str">
        <x:v>Montgomery County</x:v>
      </x:c>
      <x:c r="C797" s="132" t="n">
        <x:v>1</x:v>
      </x:c>
      <x:c r="D797" s="134" t="n">
        <x:v>3830</x:v>
      </x:c>
      <x:c r="E797" s="133" t="n">
        <x:v>38.7</x:v>
      </x:c>
      <x:c r="F797" s="134" t="n">
        <x:v>884</x:v>
      </x:c>
      <x:c r="G797" s="134" t="n">
        <x:v>0</x:v>
      </x:c>
      <x:c r="H797" s="134" t="n">
        <x:v>52</x:v>
      </x:c>
      <x:c r="I797" s="134" t="n">
        <x:v>12</x:v>
      </x:c>
      <x:c r="J797" s="133" t="n">
        <x:v>1.3577023498694516</x:v>
      </x:c>
      <x:c r="K797" s="133" t="n">
        <x:v>1.3574660633484164</x:v>
      </x:c>
      <x:c r="L797" s="133" t="n">
        <x:v>1.3631937682570594</x:v>
      </x:c>
      <x:c r="M797" s="133" t="n">
        <x:v>1.3793103448275863</x:v>
      </x:c>
      <x:c r="N797" s="133" t="n">
        <x:v>1.6129032258064515</x:v>
      </x:c>
      <x:c r="O797" s="133" t="n">
        <x:v>1.4012738853503184</x:v>
      </x:c>
      <x:c r="P797" s="132"/>
    </x:row>
    <x:row r="798">
      <x:c r="A798" s="136" t="str">
        <x:v>01101001700</x:v>
      </x:c>
      <x:c r="B798" s="132" t="str">
        <x:v>Montgomery County</x:v>
      </x:c>
      <x:c r="C798" s="132" t="n">
        <x:v>1</x:v>
      </x:c>
      <x:c r="D798" s="134" t="n">
        <x:v>5469</x:v>
      </x:c>
      <x:c r="E798" s="133" t="n">
        <x:v>11.3</x:v>
      </x:c>
      <x:c r="F798" s="134" t="n">
        <x:v>2894</x:v>
      </x:c>
      <x:c r="G798" s="134" t="n">
        <x:v>0</x:v>
      </x:c>
      <x:c r="H798" s="134" t="n">
        <x:v>22</x:v>
      </x:c>
      <x:c r="I798" s="134" t="n">
        <x:v>12</x:v>
      </x:c>
      <x:c r="J798" s="133" t="n">
        <x:v>0.4022673249222893</x:v>
      </x:c>
      <x:c r="K798" s="133" t="n">
        <x:v>0.414651002073255</x:v>
      </x:c>
      <x:c r="L798" s="133" t="n">
        <x:v>0.4424778761061947</x:v>
      </x:c>
      <x:c r="M798" s="133" t="n">
        <x:v>0.36674816625916873</x:v>
      </x:c>
      <x:c r="N798" s="133" t="n">
        <x:v>0</x:v>
      </x:c>
      <x:c r="O798" s="133" t="n">
        <x:v>0.49019607843137253</x:v>
      </x:c>
      <x:c r="P798" s="132"/>
    </x:row>
    <x:row r="799">
      <x:c r="A799" s="136" t="str">
        <x:v>01103000900</x:v>
      </x:c>
      <x:c r="B799" s="132" t="str">
        <x:v>Morgan County</x:v>
      </x:c>
      <x:c r="C799" s="132" t="n">
        <x:v>1</x:v>
      </x:c>
      <x:c r="D799" s="134" t="n">
        <x:v>5853</x:v>
      </x:c>
      <x:c r="E799" s="133" t="n">
        <x:v>15.6</x:v>
      </x:c>
      <x:c r="F799" s="134" t="n">
        <x:v>3339</x:v>
      </x:c>
      <x:c r="G799" s="134" t="n">
        <x:v>0</x:v>
      </x:c>
      <x:c r="H799" s="134" t="n">
        <x:v>21</x:v>
      </x:c>
      <x:c r="I799" s="134" t="n">
        <x:v>12</x:v>
      </x:c>
      <x:c r="J799" s="133" t="n">
        <x:v>0.35879036391594055</x:v>
      </x:c>
      <x:c r="K799" s="133" t="n">
        <x:v>0.35938903863432164</x:v>
      </x:c>
      <x:c r="L799" s="133" t="n">
        <x:v>0.335345405767941</x:v>
      </x:c>
      <x:c r="M799" s="133" t="n">
        <x:v>0.33783783783783783</x:v>
      </x:c>
      <x:c r="N799" s="133" t="n">
        <x:v>0.5263157894736842</x:v>
      </x:c>
      <x:c r="O799" s="133" t="n">
        <x:v>0.3508771929824561</x:v>
      </x:c>
      <x:c r="P799" s="132"/>
    </x:row>
    <x:row r="800">
      <x:c r="A800" s="136" t="str">
        <x:v>01109189200</x:v>
      </x:c>
      <x:c r="B800" s="132" t="str">
        <x:v>Pike County</x:v>
      </x:c>
      <x:c r="C800" s="132" t="n">
        <x:v>0</x:v>
      </x:c>
      <x:c r="D800" s="134" t="n">
        <x:v>2785</x:v>
      </x:c>
      <x:c r="E800" s="133" t="n">
        <x:v>26.7</x:v>
      </x:c>
      <x:c r="F800" s="134" t="n">
        <x:v>1686</x:v>
      </x:c>
      <x:c r="G800" s="134" t="n">
        <x:v>0</x:v>
      </x:c>
      <x:c r="H800" s="134" t="n">
        <x:v>20</x:v>
      </x:c>
      <x:c r="I800" s="134" t="n">
        <x:v>12</x:v>
      </x:c>
      <x:c r="J800" s="133" t="n">
        <x:v>0.718132854578097</x:v>
      </x:c>
      <x:c r="K800" s="133" t="n">
        <x:v>0.7117437722419929</x:v>
      </x:c>
      <x:c r="L800" s="133" t="n">
        <x:v>0.8012820512820513</x:v>
      </x:c>
      <x:c r="M800" s="133" t="n">
        <x:v>0.7285974499089253</x:v>
      </x:c>
      <x:c r="N800" s="133" t="n">
        <x:v>0.6802721088435374</x:v>
      </x:c>
      <x:c r="O800" s="133" t="n">
        <x:v>0.8888888888888888</x:v>
      </x:c>
      <x:c r="P800" s="132"/>
    </x:row>
    <x:row r="801">
      <x:c r="A801" s="136" t="str">
        <x:v>01125010604</x:v>
      </x:c>
      <x:c r="B801" s="132" t="str">
        <x:v>Tuscaloosa County</x:v>
      </x:c>
      <x:c r="C801" s="132" t="n">
        <x:v>0</x:v>
      </x:c>
      <x:c r="D801" s="134" t="n">
        <x:v>6817</x:v>
      </x:c>
      <x:c r="E801" s="133" t="n">
        <x:v>9</x:v>
      </x:c>
      <x:c r="F801" s="134" t="n">
        <x:v>5902</x:v>
      </x:c>
      <x:c r="G801" s="134" t="n">
        <x:v>0</x:v>
      </x:c>
      <x:c r="H801" s="134" t="n">
        <x:v>14</x:v>
      </x:c>
      <x:c r="I801" s="134" t="n">
        <x:v>12</x:v>
      </x:c>
      <x:c r="J801" s="133" t="n">
        <x:v>0.20536893061463987</x:v>
      </x:c>
      <x:c r="K801" s="133" t="n">
        <x:v>0.20332090816672316</x:v>
      </x:c>
      <x:c r="L801" s="133" t="n">
        <x:v>0.182370820668693</x:v>
      </x:c>
      <x:c r="M801" s="133" t="n">
        <x:v>0.21367521367521367</x:v>
      </x:c>
      <x:c r="N801" s="133" t="n">
        <x:v>0</x:v>
      </x:c>
      <x:c r="O801" s="133" t="n">
        <x:v>0</x:v>
      </x:c>
      <x:c r="P801" s="132"/>
    </x:row>
    <x:row r="802">
      <x:c r="A802" s="136" t="str">
        <x:v>01091972901</x:v>
      </x:c>
      <x:c r="B802" s="132" t="str">
        <x:v>Marengo County</x:v>
      </x:c>
      <x:c r="C802" s="132" t="n">
        <x:v>1</x:v>
      </x:c>
      <x:c r="D802" s="134" t="n">
        <x:v>1619</x:v>
      </x:c>
      <x:c r="E802" s="133" t="n">
        <x:v>24.8</x:v>
      </x:c>
      <x:c r="F802" s="134" t="n">
        <x:v>643</x:v>
      </x:c>
      <x:c r="G802" s="134" t="n">
        <x:v>0</x:v>
      </x:c>
      <x:c r="H802" s="134" t="n">
        <x:v>32</x:v>
      </x:c>
      <x:c r="I802" s="134" t="n">
        <x:v>13</x:v>
      </x:c>
      <x:c r="J802" s="133" t="n">
        <x:v>1.9765287214329834</x:v>
      </x:c>
      <x:c r="K802" s="133" t="n">
        <x:v>2.021772939346812</x:v>
      </x:c>
      <x:c r="L802" s="133" t="n">
        <x:v>1.8666666666666667</x:v>
      </x:c>
      <x:c r="M802" s="133" t="n">
        <x:v>2.142857142857143</x:v>
      </x:c>
      <x:c r="N802" s="133" t="n">
        <x:v>3.0303030303030303</x:v>
      </x:c>
      <x:c r="O802" s="133" t="n">
        <x:v>1.7543859649122806</x:v>
      </x:c>
      <x:c r="P802" s="132"/>
    </x:row>
    <x:row r="803">
      <x:c r="A803" s="136" t="str">
        <x:v>01091973200</x:v>
      </x:c>
      <x:c r="B803" s="132" t="str">
        <x:v>Marengo County</x:v>
      </x:c>
      <x:c r="C803" s="132" t="n">
        <x:v>0</x:v>
      </x:c>
      <x:c r="D803" s="134" t="n">
        <x:v>2396</x:v>
      </x:c>
      <x:c r="E803" s="133" t="n">
        <x:v>26.4</x:v>
      </x:c>
      <x:c r="F803" s="134" t="n">
        <x:v>1233</x:v>
      </x:c>
      <x:c r="G803" s="134" t="n">
        <x:v>0</x:v>
      </x:c>
      <x:c r="H803" s="134" t="n">
        <x:v>25</x:v>
      </x:c>
      <x:c r="I803" s="134" t="n">
        <x:v>13</x:v>
      </x:c>
      <x:c r="J803" s="133" t="n">
        <x:v>1.0434056761268782</x:v>
      </x:c>
      <x:c r="K803" s="133" t="n">
        <x:v>1.05433901054339</x:v>
      </x:c>
      <x:c r="L803" s="133" t="n">
        <x:v>1.0638297872340425</x:v>
      </x:c>
      <x:c r="M803" s="133" t="n">
        <x:v>1.0822510822510822</x:v>
      </x:c>
      <x:c r="N803" s="133" t="n">
        <x:v>1.2987012987012987</x:v>
      </x:c>
      <x:c r="O803" s="133" t="n">
        <x:v>0.8298755186721992</x:v>
      </x:c>
      <x:c r="P803" s="132"/>
    </x:row>
    <x:row r="804">
      <x:c r="A804" s="136" t="str">
        <x:v>01095031002</x:v>
      </x:c>
      <x:c r="B804" s="132" t="str">
        <x:v>Marshall County</x:v>
      </x:c>
      <x:c r="C804" s="132" t="n">
        <x:v>0</x:v>
      </x:c>
      <x:c r="D804" s="134" t="n">
        <x:v>2635</x:v>
      </x:c>
      <x:c r="E804" s="133" t="n">
        <x:v>21.3</x:v>
      </x:c>
      <x:c r="F804" s="134" t="n">
        <x:v>1815</x:v>
      </x:c>
      <x:c r="G804" s="134" t="n">
        <x:v>0</x:v>
      </x:c>
      <x:c r="H804" s="134" t="n">
        <x:v>19</x:v>
      </x:c>
      <x:c r="I804" s="134" t="n">
        <x:v>13</x:v>
      </x:c>
      <x:c r="J804" s="133" t="n">
        <x:v>0.7210626185958254</x:v>
      </x:c>
      <x:c r="K804" s="133" t="n">
        <x:v>0.7162534435261708</x:v>
      </x:c>
      <x:c r="L804" s="133" t="n">
        <x:v>0.6775067750677507</x:v>
      </x:c>
      <x:c r="M804" s="133" t="n">
        <x:v>0.8620689655172413</x:v>
      </x:c>
      <x:c r="N804" s="133" t="n">
        <x:v>0</x:v>
      </x:c>
      <x:c r="O804" s="133" t="n">
        <x:v>0.8097165991902834</x:v>
      </x:c>
      <x:c r="P804" s="132"/>
    </x:row>
    <x:row r="805">
      <x:c r="A805" s="136" t="str">
        <x:v>01103005703</x:v>
      </x:c>
      <x:c r="B805" s="132" t="str">
        <x:v>Morgan County</x:v>
      </x:c>
      <x:c r="C805" s="132" t="n">
        <x:v>0</x:v>
      </x:c>
      <x:c r="D805" s="134" t="n">
        <x:v>2821</x:v>
      </x:c>
      <x:c r="E805" s="133" t="n">
        <x:v>15.5</x:v>
      </x:c>
      <x:c r="F805" s="134" t="n">
        <x:v>2191</x:v>
      </x:c>
      <x:c r="G805" s="134" t="n">
        <x:v>0</x:v>
      </x:c>
      <x:c r="H805" s="134" t="n">
        <x:v>17</x:v>
      </x:c>
      <x:c r="I805" s="134" t="n">
        <x:v>13</x:v>
      </x:c>
      <x:c r="J805" s="133" t="n">
        <x:v>0.6026231832683445</x:v>
      </x:c>
      <x:c r="K805" s="133" t="n">
        <x:v>0.5933363760839799</x:v>
      </x:c>
      <x:c r="L805" s="133" t="n">
        <x:v>0.6568144499178982</x:v>
      </x:c>
      <x:c r="M805" s="133" t="n">
        <x:v>0.5758157389635317</x:v>
      </x:c>
      <x:c r="N805" s="133" t="n">
        <x:v>0</x:v>
      </x:c>
      <x:c r="O805" s="133" t="n">
        <x:v>0</x:v>
      </x:c>
      <x:c r="P805" s="132"/>
    </x:row>
    <x:row r="806">
      <x:c r="A806" s="136" t="str">
        <x:v>01111000100</x:v>
      </x:c>
      <x:c r="B806" s="132" t="str">
        <x:v>Randolph County</x:v>
      </x:c>
      <x:c r="C806" s="132" t="n">
        <x:v>0</x:v>
      </x:c>
      <x:c r="D806" s="134" t="n">
        <x:v>3772</x:v>
      </x:c>
      <x:c r="E806" s="133" t="n">
        <x:v>18.7</x:v>
      </x:c>
      <x:c r="F806" s="134" t="n">
        <x:v>2095</x:v>
      </x:c>
      <x:c r="G806" s="134" t="n">
        <x:v>0</x:v>
      </x:c>
      <x:c r="H806" s="134" t="n">
        <x:v>23</x:v>
      </x:c>
      <x:c r="I806" s="134" t="n">
        <x:v>13</x:v>
      </x:c>
      <x:c r="J806" s="133" t="n">
        <x:v>0.6097560975609756</x:v>
      </x:c>
      <x:c r="K806" s="133" t="n">
        <x:v>0.6205250596658711</x:v>
      </x:c>
      <x:c r="L806" s="133" t="n">
        <x:v>0.6002400960384153</x:v>
      </x:c>
      <x:c r="M806" s="133" t="n">
        <x:v>0.572737686139748</x:v>
      </x:c>
      <x:c r="N806" s="133" t="n">
        <x:v>0</x:v>
      </x:c>
      <x:c r="O806" s="133" t="n">
        <x:v>0.4608294930875576</x:v>
      </x:c>
      <x:c r="P806" s="132"/>
    </x:row>
    <x:row r="807">
      <x:c r="A807" s="136" t="str">
        <x:v>01121010102</x:v>
      </x:c>
      <x:c r="B807" s="132" t="str">
        <x:v>Talladega County</x:v>
      </x:c>
      <x:c r="C807" s="132" t="n">
        <x:v>0</x:v>
      </x:c>
      <x:c r="D807" s="134" t="n">
        <x:v>5221</x:v>
      </x:c>
      <x:c r="E807" s="133" t="n">
        <x:v>14.4</x:v>
      </x:c>
      <x:c r="F807" s="134" t="n">
        <x:v>3247</x:v>
      </x:c>
      <x:c r="G807" s="134" t="n">
        <x:v>0</x:v>
      </x:c>
      <x:c r="H807" s="134" t="n">
        <x:v>20</x:v>
      </x:c>
      <x:c r="I807" s="134" t="n">
        <x:v>13</x:v>
      </x:c>
      <x:c r="J807" s="133" t="n">
        <x:v>0.3830683777054204</x:v>
      </x:c>
      <x:c r="K807" s="133" t="n">
        <x:v>0.40036957191253464</x:v>
      </x:c>
      <x:c r="L807" s="133" t="n">
        <x:v>0.42265426880811496</x:v>
      </x:c>
      <x:c r="M807" s="133" t="n">
        <x:v>0.351288056206089</x:v>
      </x:c>
      <x:c r="N807" s="133" t="n">
        <x:v>0</x:v>
      </x:c>
      <x:c r="O807" s="133" t="n">
        <x:v>0.2994011976047904</x:v>
      </x:c>
      <x:c r="P807" s="132"/>
    </x:row>
    <x:row r="808">
      <x:c r="A808" s="136" t="str">
        <x:v>01133965900</x:v>
      </x:c>
      <x:c r="B808" s="132" t="str">
        <x:v>Winston County</x:v>
      </x:c>
      <x:c r="C808" s="132" t="n">
        <x:v>0</x:v>
      </x:c>
      <x:c r="D808" s="134" t="n">
        <x:v>2005</x:v>
      </x:c>
      <x:c r="E808" s="133" t="n">
        <x:v>21.9</x:v>
      </x:c>
      <x:c r="F808" s="134" t="n">
        <x:v>1011</x:v>
      </x:c>
      <x:c r="G808" s="134" t="n">
        <x:v>0</x:v>
      </x:c>
      <x:c r="H808" s="134" t="n">
        <x:v>26</x:v>
      </x:c>
      <x:c r="I808" s="134" t="n">
        <x:v>13</x:v>
      </x:c>
      <x:c r="J808" s="133" t="n">
        <x:v>1.2967581047381547</x:v>
      </x:c>
      <x:c r="K808" s="133" t="n">
        <x:v>1.2858555885262117</x:v>
      </x:c>
      <x:c r="L808" s="133" t="n">
        <x:v>1.2106537530266344</x:v>
      </x:c>
      <x:c r="M808" s="133" t="n">
        <x:v>1.2658227848101267</x:v>
      </x:c>
      <x:c r="N808" s="133" t="n">
        <x:v>0</x:v>
      </x:c>
      <x:c r="O808" s="133" t="n">
        <x:v>1.3245033112582782</x:v>
      </x:c>
      <x:c r="P808" s="132"/>
    </x:row>
    <x:row r="809">
      <x:c r="A809" s="136" t="str">
        <x:v>01011952201</x:v>
      </x:c>
      <x:c r="B809" s="132" t="str">
        <x:v>Bullock County</x:v>
      </x:c>
      <x:c r="C809" s="132" t="n">
        <x:v>0</x:v>
      </x:c>
      <x:c r="D809" s="134" t="n">
        <x:v>2423</x:v>
      </x:c>
      <x:c r="E809" s="133" t="n">
        <x:v>42.1</x:v>
      </x:c>
      <x:c r="F809" s="134" t="n">
        <x:v>931</x:v>
      </x:c>
      <x:c r="G809" s="134" t="n">
        <x:v>0</x:v>
      </x:c>
      <x:c r="H809" s="134" t="n">
        <x:v>36</x:v>
      </x:c>
      <x:c r="I809" s="134" t="n">
        <x:v>14</x:v>
      </x:c>
      <x:c r="J809" s="133" t="n">
        <x:v>1.4857614527445315</x:v>
      </x:c>
      <x:c r="K809" s="133" t="n">
        <x:v>1.5037593984962405</x:v>
      </x:c>
      <x:c r="L809" s="133" t="n">
        <x:v>1.492537313432836</x:v>
      </x:c>
      <x:c r="M809" s="133" t="n">
        <x:v>1.5625</x:v>
      </x:c>
      <x:c r="N809" s="133" t="n">
        <x:v>1.5384615384615385</x:v>
      </x:c>
      <x:c r="O809" s="133" t="n">
        <x:v>1.4742014742014742</x:v>
      </x:c>
      <x:c r="P809" s="132"/>
    </x:row>
    <x:row r="810">
      <x:c r="A810" s="136" t="str">
        <x:v>01013953000</x:v>
      </x:c>
      <x:c r="B810" s="132" t="str">
        <x:v>Butler County</x:v>
      </x:c>
      <x:c r="C810" s="132" t="n">
        <x:v>0</x:v>
      </x:c>
      <x:c r="D810" s="134" t="n">
        <x:v>1230</x:v>
      </x:c>
      <x:c r="E810" s="133" t="n">
        <x:v>6.9</x:v>
      </x:c>
      <x:c r="F810" s="134" t="n">
        <x:v>536</x:v>
      </x:c>
      <x:c r="G810" s="134" t="n">
        <x:v>0</x:v>
      </x:c>
      <x:c r="H810" s="134" t="n">
        <x:v>31</x:v>
      </x:c>
      <x:c r="I810" s="134" t="n">
        <x:v>14</x:v>
      </x:c>
      <x:c r="J810" s="133" t="n">
        <x:v>2.5203252032520327</x:v>
      </x:c>
      <x:c r="K810" s="133" t="n">
        <x:v>2.611940298507463</x:v>
      </x:c>
      <x:c r="L810" s="133" t="n">
        <x:v>2.5547445255474455</x:v>
      </x:c>
      <x:c r="M810" s="133" t="n">
        <x:v>2.4489795918367347</x:v>
      </x:c>
      <x:c r="N810" s="133" t="n">
        <x:v>0</x:v>
      </x:c>
      <x:c r="O810" s="133" t="n">
        <x:v>2.0833333333333335</x:v>
      </x:c>
      <x:c r="P810" s="132"/>
    </x:row>
    <x:row r="811">
      <x:c r="A811" s="136" t="str">
        <x:v>01053969900</x:v>
      </x:c>
      <x:c r="B811" s="132" t="str">
        <x:v>Escambia County</x:v>
      </x:c>
      <x:c r="C811" s="132" t="n">
        <x:v>0</x:v>
      </x:c>
      <x:c r="D811" s="134" t="n">
        <x:v>4399</x:v>
      </x:c>
      <x:c r="E811" s="133" t="n">
        <x:v>12.6</x:v>
      </x:c>
      <x:c r="F811" s="134" t="n">
        <x:v>2678</x:v>
      </x:c>
      <x:c r="G811" s="134" t="n">
        <x:v>0</x:v>
      </x:c>
      <x:c r="H811" s="134" t="n">
        <x:v>22</x:v>
      </x:c>
      <x:c r="I811" s="134" t="n">
        <x:v>14</x:v>
      </x:c>
      <x:c r="J811" s="133" t="n">
        <x:v>0.5001136621959537</x:v>
      </x:c>
      <x:c r="K811" s="133" t="n">
        <x:v>0.5227781926811053</x:v>
      </x:c>
      <x:c r="L811" s="133" t="n">
        <x:v>0.48685491723466406</x:v>
      </x:c>
      <x:c r="M811" s="133" t="n">
        <x:v>0.45714285714285713</x:v>
      </x:c>
      <x:c r="N811" s="133" t="n">
        <x:v>0</x:v>
      </x:c>
      <x:c r="O811" s="133" t="n">
        <x:v>0.4694835680751174</x:v>
      </x:c>
      <x:c r="P811" s="132"/>
    </x:row>
    <x:row r="812">
      <x:c r="A812" s="136" t="str">
        <x:v>01075030000</x:v>
      </x:c>
      <x:c r="B812" s="132" t="str">
        <x:v>Lamar County</x:v>
      </x:c>
      <x:c r="C812" s="132" t="n">
        <x:v>0</x:v>
      </x:c>
      <x:c r="D812" s="134" t="n">
        <x:v>4412</x:v>
      </x:c>
      <x:c r="E812" s="133" t="n">
        <x:v>20.6</x:v>
      </x:c>
      <x:c r="F812" s="134" t="n">
        <x:v>1861</x:v>
      </x:c>
      <x:c r="G812" s="134" t="n">
        <x:v>0</x:v>
      </x:c>
      <x:c r="H812" s="134" t="n">
        <x:v>33</x:v>
      </x:c>
      <x:c r="I812" s="134" t="n">
        <x:v>14</x:v>
      </x:c>
      <x:c r="J812" s="133" t="n">
        <x:v>0.7479601087941976</x:v>
      </x:c>
      <x:c r="K812" s="133" t="n">
        <x:v>0.7522837184309511</x:v>
      </x:c>
      <x:c r="L812" s="133" t="n">
        <x:v>0.7430997876857749</x:v>
      </x:c>
      <x:c r="M812" s="133" t="n">
        <x:v>0.7329842931937173</x:v>
      </x:c>
      <x:c r="N812" s="133" t="n">
        <x:v>0.8695652173913043</x:v>
      </x:c>
      <x:c r="O812" s="133" t="n">
        <x:v>0.8571428571428571</x:v>
      </x:c>
      <x:c r="P812" s="132"/>
    </x:row>
    <x:row r="813">
      <x:c r="A813" s="136" t="str">
        <x:v>01089002501</x:v>
      </x:c>
      <x:c r="B813" s="132" t="str">
        <x:v>Madison County</x:v>
      </x:c>
      <x:c r="C813" s="132" t="n">
        <x:v>1</x:v>
      </x:c>
      <x:c r="D813" s="134" t="n">
        <x:v>3210</x:v>
      </x:c>
      <x:c r="E813" s="133" t="n">
        <x:v>54.6</x:v>
      </x:c>
      <x:c r="F813" s="134" t="n">
        <x:v>952</x:v>
      </x:c>
      <x:c r="G813" s="134" t="n">
        <x:v>0</x:v>
      </x:c>
      <x:c r="H813" s="134" t="n">
        <x:v>47</x:v>
      </x:c>
      <x:c r="I813" s="134" t="n">
        <x:v>14</x:v>
      </x:c>
      <x:c r="J813" s="133" t="n">
        <x:v>1.4641744548286604</x:v>
      </x:c>
      <x:c r="K813" s="133" t="n">
        <x:v>1.4705882352941178</x:v>
      </x:c>
      <x:c r="L813" s="133" t="n">
        <x:v>1.4992503748125936</x:v>
      </x:c>
      <x:c r="M813" s="133" t="n">
        <x:v>1.7341040462427746</x:v>
      </x:c>
      <x:c r="N813" s="133" t="n">
        <x:v>1.3953488372093024</x:v>
      </x:c>
      <x:c r="O813" s="133" t="n">
        <x:v>1.3725490196078431</x:v>
      </x:c>
      <x:c r="P813" s="132"/>
    </x:row>
    <x:row r="814">
      <x:c r="A814" s="136" t="str">
        <x:v>01097003602</x:v>
      </x:c>
      <x:c r="B814" s="132" t="str">
        <x:v>Mobile County</x:v>
      </x:c>
      <x:c r="C814" s="132" t="n">
        <x:v>1</x:v>
      </x:c>
      <x:c r="D814" s="134" t="n">
        <x:v>1253</x:v>
      </x:c>
      <x:c r="E814" s="133" t="n">
        <x:v>28.5</x:v>
      </x:c>
      <x:c r="F814" s="134" t="n">
        <x:v>502</x:v>
      </x:c>
      <x:c r="G814" s="134" t="n">
        <x:v>0</x:v>
      </x:c>
      <x:c r="H814" s="134" t="n">
        <x:v>35</x:v>
      </x:c>
      <x:c r="I814" s="134" t="n">
        <x:v>14</x:v>
      </x:c>
      <x:c r="J814" s="133" t="n">
        <x:v>2.793296089385475</x:v>
      </x:c>
      <x:c r="K814" s="133" t="n">
        <x:v>2.7888446215139444</x:v>
      </x:c>
      <x:c r="L814" s="133" t="n">
        <x:v>2.7950310559006213</x:v>
      </x:c>
      <x:c r="M814" s="133" t="n">
        <x:v>2.5806451612903225</x:v>
      </x:c>
      <x:c r="N814" s="133" t="n">
        <x:v>4.3478260869565215</x:v>
      </x:c>
      <x:c r="O814" s="133" t="n">
        <x:v>3.0864197530864197</x:v>
      </x:c>
      <x:c r="P814" s="132"/>
    </x:row>
    <x:row r="815">
      <x:c r="A815" s="136" t="str">
        <x:v>01101002500</x:v>
      </x:c>
      <x:c r="B815" s="132" t="str">
        <x:v>Montgomery County</x:v>
      </x:c>
      <x:c r="C815" s="132" t="n">
        <x:v>1</x:v>
      </x:c>
      <x:c r="D815" s="134" t="n">
        <x:v>2315</x:v>
      </x:c>
      <x:c r="E815" s="133" t="n">
        <x:v>30.1</x:v>
      </x:c>
      <x:c r="F815" s="134" t="n">
        <x:v>1339</x:v>
      </x:c>
      <x:c r="G815" s="134" t="n">
        <x:v>0</x:v>
      </x:c>
      <x:c r="H815" s="134" t="n">
        <x:v>24</x:v>
      </x:c>
      <x:c r="I815" s="134" t="n">
        <x:v>14</x:v>
      </x:c>
      <x:c r="J815" s="133" t="n">
        <x:v>1.0367170626349893</x:v>
      </x:c>
      <x:c r="K815" s="133" t="n">
        <x:v>1.0455563853622105</x:v>
      </x:c>
      <x:c r="L815" s="133" t="n">
        <x:v>0.9584664536741214</x:v>
      </x:c>
      <x:c r="M815" s="133" t="n">
        <x:v>1.0067114093959733</x:v>
      </x:c>
      <x:c r="N815" s="133" t="n">
        <x:v>0.9009009009009009</x:v>
      </x:c>
      <x:c r="O815" s="133" t="n">
        <x:v>0.970873786407767</x:v>
      </x:c>
      <x:c r="P815" s="132"/>
    </x:row>
    <x:row r="816">
      <x:c r="A816" s="136" t="str">
        <x:v>01115040503</x:v>
      </x:c>
      <x:c r="B816" s="132" t="str">
        <x:v>St. Clair County</x:v>
      </x:c>
      <x:c r="C816" s="132" t="n">
        <x:v>0</x:v>
      </x:c>
      <x:c r="D816" s="134" t="n">
        <x:v>4780</x:v>
      </x:c>
      <x:c r="E816" s="133" t="n">
        <x:v>6</x:v>
      </x:c>
      <x:c r="F816" s="134" t="n">
        <x:v>4078</x:v>
      </x:c>
      <x:c r="G816" s="134" t="n">
        <x:v>0</x:v>
      </x:c>
      <x:c r="H816" s="134" t="n">
        <x:v>17</x:v>
      </x:c>
      <x:c r="I816" s="134" t="n">
        <x:v>14</x:v>
      </x:c>
      <x:c r="J816" s="133" t="n">
        <x:v>0.35564853556485354</x:v>
      </x:c>
      <x:c r="K816" s="133" t="n">
        <x:v>0.34330554193231977</x:v>
      </x:c>
      <x:c r="L816" s="133" t="n">
        <x:v>0.3568242640499554</x:v>
      </x:c>
      <x:c r="M816" s="133" t="n">
        <x:v>0.3424657534246575</x:v>
      </x:c>
      <x:c r="N816" s="133" t="n">
        <x:v>0</x:v>
      </x:c>
      <x:c r="O816" s="133" t="n">
        <x:v>0.4149377593360996</x:v>
      </x:c>
      <x:c r="P816" s="132"/>
    </x:row>
    <x:row r="817">
      <x:c r="A817" s="136" t="str">
        <x:v>01121010302</x:v>
      </x:c>
      <x:c r="B817" s="132" t="str">
        <x:v>Talladega County</x:v>
      </x:c>
      <x:c r="C817" s="132" t="n">
        <x:v>0</x:v>
      </x:c>
      <x:c r="D817" s="134" t="n">
        <x:v>4779</x:v>
      </x:c>
      <x:c r="E817" s="133" t="n">
        <x:v>9.3</x:v>
      </x:c>
      <x:c r="F817" s="134" t="n">
        <x:v>3604</x:v>
      </x:c>
      <x:c r="G817" s="134" t="n">
        <x:v>0</x:v>
      </x:c>
      <x:c r="H817" s="134" t="n">
        <x:v>19</x:v>
      </x:c>
      <x:c r="I817" s="134" t="n">
        <x:v>14</x:v>
      </x:c>
      <x:c r="J817" s="133" t="n">
        <x:v>0.39757271395689475</x:v>
      </x:c>
      <x:c r="K817" s="133" t="n">
        <x:v>0.38845726970033295</x:v>
      </x:c>
      <x:c r="L817" s="133" t="n">
        <x:v>0.39113428943937417</x:v>
      </x:c>
      <x:c r="M817" s="133" t="n">
        <x:v>0.3552397868561279</x:v>
      </x:c>
      <x:c r="N817" s="133" t="n">
        <x:v>0</x:v>
      </x:c>
      <x:c r="O817" s="133" t="n">
        <x:v>0.5319148936170213</x:v>
      </x:c>
      <x:c r="P817" s="132"/>
    </x:row>
    <x:row r="818">
      <x:c r="A818" s="136" t="str">
        <x:v>01011952100</x:v>
      </x:c>
      <x:c r="B818" s="132" t="str">
        <x:v>Bullock County</x:v>
      </x:c>
      <x:c r="C818" s="132" t="n">
        <x:v>0</x:v>
      </x:c>
      <x:c r="D818" s="134" t="n">
        <x:v>1272</x:v>
      </x:c>
      <x:c r="E818" s="133" t="n">
        <x:v>23.2</x:v>
      </x:c>
      <x:c r="F818" s="134" t="n">
        <x:v>604</x:v>
      </x:c>
      <x:c r="G818" s="134" t="n">
        <x:v>0</x:v>
      </x:c>
      <x:c r="H818" s="134" t="n">
        <x:v>32</x:v>
      </x:c>
      <x:c r="I818" s="134" t="n">
        <x:v>15</x:v>
      </x:c>
      <x:c r="J818" s="133" t="n">
        <x:v>2.5157232704402515</x:v>
      </x:c>
      <x:c r="K818" s="133" t="n">
        <x:v>2.4834437086092715</x:v>
      </x:c>
      <x:c r="L818" s="133" t="n">
        <x:v>2.5089605734767026</x:v>
      </x:c>
      <x:c r="M818" s="133" t="n">
        <x:v>2.6217228464419478</x:v>
      </x:c>
      <x:c r="N818" s="133" t="n">
        <x:v>3.3333333333333335</x:v>
      </x:c>
      <x:c r="O818" s="133" t="n">
        <x:v>2.7149321266968327</x:v>
      </x:c>
      <x:c r="P818" s="132"/>
    </x:row>
    <x:row r="819">
      <x:c r="A819" s="136" t="str">
        <x:v>01029959800</x:v>
      </x:c>
      <x:c r="B819" s="132" t="str">
        <x:v>Cleburne County</x:v>
      </x:c>
      <x:c r="C819" s="132" t="n">
        <x:v>0</x:v>
      </x:c>
      <x:c r="D819" s="134" t="n">
        <x:v>4780</x:v>
      </x:c>
      <x:c r="E819" s="133" t="n">
        <x:v>14.5</x:v>
      </x:c>
      <x:c r="F819" s="134" t="n">
        <x:v>3440</x:v>
      </x:c>
      <x:c r="G819" s="134" t="n">
        <x:v>0</x:v>
      </x:c>
      <x:c r="H819" s="134" t="n">
        <x:v>21</x:v>
      </x:c>
      <x:c r="I819" s="134" t="n">
        <x:v>15</x:v>
      </x:c>
      <x:c r="J819" s="133" t="n">
        <x:v>0.4393305439330544</x:v>
      </x:c>
      <x:c r="K819" s="133" t="n">
        <x:v>0.436046511627907</x:v>
      </x:c>
      <x:c r="L819" s="133" t="n">
        <x:v>0.4306632213608958</x:v>
      </x:c>
      <x:c r="M819" s="133" t="n">
        <x:v>0.4439511653718091</x:v>
      </x:c>
      <x:c r="N819" s="133" t="n">
        <x:v>0</x:v>
      </x:c>
      <x:c r="O819" s="133" t="n">
        <x:v>0.4</x:v>
      </x:c>
      <x:c r="P819" s="132"/>
    </x:row>
    <x:row r="820">
      <x:c r="A820" s="136" t="str">
        <x:v>01051030200</x:v>
      </x:c>
      <x:c r="B820" s="132" t="str">
        <x:v>Elmore County</x:v>
      </x:c>
      <x:c r="C820" s="132" t="n">
        <x:v>0</x:v>
      </x:c>
      <x:c r="D820" s="134" t="n">
        <x:v>4970</x:v>
      </x:c>
      <x:c r="E820" s="133" t="n">
        <x:v>16.9</x:v>
      </x:c>
      <x:c r="F820" s="134" t="n">
        <x:v>4201</x:v>
      </x:c>
      <x:c r="G820" s="134" t="n">
        <x:v>0</x:v>
      </x:c>
      <x:c r="H820" s="134" t="n">
        <x:v>18</x:v>
      </x:c>
      <x:c r="I820" s="134" t="n">
        <x:v>15</x:v>
      </x:c>
      <x:c r="J820" s="133" t="n">
        <x:v>0.36217303822937624</x:v>
      </x:c>
      <x:c r="K820" s="133" t="n">
        <x:v>0.357057843370626</x:v>
      </x:c>
      <x:c r="L820" s="133" t="n">
        <x:v>0.3232758620689655</x:v>
      </x:c>
      <x:c r="M820" s="133" t="n">
        <x:v>0.3861003861003861</x:v>
      </x:c>
      <x:c r="N820" s="133" t="n">
        <x:v>0</x:v>
      </x:c>
      <x:c r="O820" s="133" t="n">
        <x:v>0.411522633744856</x:v>
      </x:c>
      <x:c r="P820" s="132"/>
    </x:row>
    <x:row r="821">
      <x:c r="A821" s="136" t="str">
        <x:v>01059973701</x:v>
      </x:c>
      <x:c r="B821" s="132" t="str">
        <x:v>Franklin County</x:v>
      </x:c>
      <x:c r="C821" s="132" t="n">
        <x:v>0</x:v>
      </x:c>
      <x:c r="D821" s="134" t="n">
        <x:v>1418</x:v>
      </x:c>
      <x:c r="E821" s="133" t="n">
        <x:v>15.3</x:v>
      </x:c>
      <x:c r="F821" s="134" t="n">
        <x:v>791</x:v>
      </x:c>
      <x:c r="G821" s="134" t="n">
        <x:v>0</x:v>
      </x:c>
      <x:c r="H821" s="134" t="n">
        <x:v>26</x:v>
      </x:c>
      <x:c r="I821" s="134" t="n">
        <x:v>15</x:v>
      </x:c>
      <x:c r="J821" s="133" t="n">
        <x:v>1.8335684062059239</x:v>
      </x:c>
      <x:c r="K821" s="133" t="n">
        <x:v>1.8963337547408343</x:v>
      </x:c>
      <x:c r="L821" s="133" t="n">
        <x:v>1.8633540372670807</x:v>
      </x:c>
      <x:c r="M821" s="133" t="n">
        <x:v>1.7857142857142858</x:v>
      </x:c>
      <x:c r="N821" s="133" t="n">
        <x:v>0</x:v>
      </x:c>
      <x:c r="O821" s="133" t="n">
        <x:v>2.3255813953488373</x:v>
      </x:c>
      <x:c r="P821" s="132"/>
    </x:row>
    <x:row r="822">
      <x:c r="A822" s="136" t="str">
        <x:v>01089001200</x:v>
      </x:c>
      <x:c r="B822" s="132" t="str">
        <x:v>Madison County</x:v>
      </x:c>
      <x:c r="C822" s="132" t="n">
        <x:v>1</x:v>
      </x:c>
      <x:c r="D822" s="134" t="n">
        <x:v>2887</x:v>
      </x:c>
      <x:c r="E822" s="133" t="n">
        <x:v>41.3</x:v>
      </x:c>
      <x:c r="F822" s="134" t="n">
        <x:v>762</x:v>
      </x:c>
      <x:c r="G822" s="134" t="n">
        <x:v>0</x:v>
      </x:c>
      <x:c r="H822" s="134" t="n">
        <x:v>56</x:v>
      </x:c>
      <x:c r="I822" s="134" t="n">
        <x:v>15</x:v>
      </x:c>
      <x:c r="J822" s="133" t="n">
        <x:v>1.939729823346034</x:v>
      </x:c>
      <x:c r="K822" s="133" t="n">
        <x:v>1.968503937007874</x:v>
      </x:c>
      <x:c r="L822" s="133" t="n">
        <x:v>1.917255297679112</x:v>
      </x:c>
      <x:c r="M822" s="133" t="n">
        <x:v>1.9047619047619047</x:v>
      </x:c>
      <x:c r="N822" s="133" t="n">
        <x:v>1.7647058823529411</x:v>
      </x:c>
      <x:c r="O822" s="133" t="n">
        <x:v>1.938610662358643</x:v>
      </x:c>
      <x:c r="P822" s="132"/>
    </x:row>
    <x:row r="823">
      <x:c r="A823" s="136" t="str">
        <x:v>01091973001</x:v>
      </x:c>
      <x:c r="B823" s="132" t="str">
        <x:v>Marengo County</x:v>
      </x:c>
      <x:c r="C823" s="132" t="n">
        <x:v>0</x:v>
      </x:c>
      <x:c r="D823" s="134" t="n">
        <x:v>1338</x:v>
      </x:c>
      <x:c r="E823" s="133" t="n">
        <x:v>26.8</x:v>
      </x:c>
      <x:c r="F823" s="134" t="n">
        <x:v>345</x:v>
      </x:c>
      <x:c r="G823" s="134" t="n">
        <x:v>0</x:v>
      </x:c>
      <x:c r="H823" s="134" t="n">
        <x:v>60</x:v>
      </x:c>
      <x:c r="I823" s="134" t="n">
        <x:v>15</x:v>
      </x:c>
      <x:c r="J823" s="133" t="n">
        <x:v>4.484304932735426</x:v>
      </x:c>
      <x:c r="K823" s="133" t="n">
        <x:v>4.3478260869565215</x:v>
      </x:c>
      <x:c r="L823" s="133" t="n">
        <x:v>4.318936877076412</x:v>
      </x:c>
      <x:c r="M823" s="133" t="n">
        <x:v>4.564315352697095</x:v>
      </x:c>
      <x:c r="N823" s="133" t="n">
        <x:v>4.166666666666667</x:v>
      </x:c>
      <x:c r="O823" s="133" t="n">
        <x:v>4.25531914893617</x:v>
      </x:c>
      <x:c r="P823" s="132"/>
    </x:row>
    <x:row r="824">
      <x:c r="A824" s="136" t="str">
        <x:v>01095030203</x:v>
      </x:c>
      <x:c r="B824" s="132" t="str">
        <x:v>Marshall County</x:v>
      </x:c>
      <x:c r="C824" s="132" t="n">
        <x:v>0</x:v>
      </x:c>
      <x:c r="D824" s="134" t="n">
        <x:v>4013</x:v>
      </x:c>
      <x:c r="E824" s="133" t="n">
        <x:v>15.8</x:v>
      </x:c>
      <x:c r="F824" s="134" t="n">
        <x:v>2814</x:v>
      </x:c>
      <x:c r="G824" s="134" t="n">
        <x:v>0</x:v>
      </x:c>
      <x:c r="H824" s="134" t="n">
        <x:v>21</x:v>
      </x:c>
      <x:c r="I824" s="134" t="n">
        <x:v>15</x:v>
      </x:c>
      <x:c r="J824" s="133" t="n">
        <x:v>0.523299277348617</x:v>
      </x:c>
      <x:c r="K824" s="133" t="n">
        <x:v>0.5330490405117271</x:v>
      </x:c>
      <x:c r="L824" s="133" t="n">
        <x:v>0.5246589716684156</x:v>
      </x:c>
      <x:c r="M824" s="133" t="n">
        <x:v>0.5797101449275363</x:v>
      </x:c>
      <x:c r="N824" s="133" t="n">
        <x:v>0.625</x:v>
      </x:c>
      <x:c r="O824" s="133" t="n">
        <x:v>0.37593984962406013</x:v>
      </x:c>
      <x:c r="P824" s="132"/>
    </x:row>
    <x:row r="825">
      <x:c r="A825" s="136" t="str">
        <x:v>01125010704</x:v>
      </x:c>
      <x:c r="B825" s="132" t="str">
        <x:v>Tuscaloosa County</x:v>
      </x:c>
      <x:c r="C825" s="132" t="n">
        <x:v>0</x:v>
      </x:c>
      <x:c r="D825" s="134" t="n">
        <x:v>4966</x:v>
      </x:c>
      <x:c r="E825" s="133" t="n">
        <x:v>4.7</x:v>
      </x:c>
      <x:c r="F825" s="134" t="n">
        <x:v>3876</x:v>
      </x:c>
      <x:c r="G825" s="134" t="n">
        <x:v>0</x:v>
      </x:c>
      <x:c r="H825" s="134" t="n">
        <x:v>20</x:v>
      </x:c>
      <x:c r="I825" s="134" t="n">
        <x:v>15</x:v>
      </x:c>
      <x:c r="J825" s="133" t="n">
        <x:v>0.4027386226339106</x:v>
      </x:c>
      <x:c r="K825" s="133" t="n">
        <x:v>0.38699690402476783</x:v>
      </x:c>
      <x:c r="L825" s="133" t="n">
        <x:v>0.41562759767248547</x:v>
      </x:c>
      <x:c r="M825" s="133" t="n">
        <x:v>0.41841004184100417</x:v>
      </x:c>
      <x:c r="N825" s="133"/>
      <x:c r="O825" s="133" t="n">
        <x:v>0.5952380952380952</x:v>
      </x:c>
      <x:c r="P825" s="132"/>
    </x:row>
    <x:row r="826">
      <x:c r="A826" s="136" t="str">
        <x:v>01009050701</x:v>
      </x:c>
      <x:c r="B826" s="132" t="str">
        <x:v>Blount County</x:v>
      </x:c>
      <x:c r="C826" s="132" t="n">
        <x:v>0</x:v>
      </x:c>
      <x:c r="D826" s="134" t="n">
        <x:v>5834</x:v>
      </x:c>
      <x:c r="E826" s="133" t="n">
        <x:v>12.2</x:v>
      </x:c>
      <x:c r="F826" s="134" t="n">
        <x:v>3565</x:v>
      </x:c>
      <x:c r="G826" s="134" t="n">
        <x:v>0</x:v>
      </x:c>
      <x:c r="H826" s="134" t="n">
        <x:v>26</x:v>
      </x:c>
      <x:c r="I826" s="134" t="n">
        <x:v>16</x:v>
      </x:c>
      <x:c r="J826" s="133" t="n">
        <x:v>0.4456633527596846</x:v>
      </x:c>
      <x:c r="K826" s="133" t="n">
        <x:v>0.4488078541374474</x:v>
      </x:c>
      <x:c r="L826" s="133" t="n">
        <x:v>0.46332046332046334</x:v>
      </x:c>
      <x:c r="M826" s="133" t="n">
        <x:v>0.4725897920604915</x:v>
      </x:c>
      <x:c r="N826" s="133" t="n">
        <x:v>0.8064516129032258</x:v>
      </x:c>
      <x:c r="O826" s="133" t="n">
        <x:v>0.3215434083601286</x:v>
      </x:c>
      <x:c r="P826" s="132"/>
    </x:row>
    <x:row r="827">
      <x:c r="A827" s="136" t="str">
        <x:v>01019955701</x:v>
      </x:c>
      <x:c r="B827" s="132" t="str">
        <x:v>Cherokee County</x:v>
      </x:c>
      <x:c r="C827" s="132" t="n">
        <x:v>0</x:v>
      </x:c>
      <x:c r="D827" s="134" t="n">
        <x:v>3365</x:v>
      </x:c>
      <x:c r="E827" s="133" t="n">
        <x:v>22.8</x:v>
      </x:c>
      <x:c r="F827" s="134" t="n">
        <x:v>1575</x:v>
      </x:c>
      <x:c r="G827" s="134" t="n">
        <x:v>0</x:v>
      </x:c>
      <x:c r="H827" s="134" t="n">
        <x:v>34</x:v>
      </x:c>
      <x:c r="I827" s="134" t="n">
        <x:v>16</x:v>
      </x:c>
      <x:c r="J827" s="133" t="n">
        <x:v>1.0104011887072808</x:v>
      </x:c>
      <x:c r="K827" s="133" t="n">
        <x:v>1.0158730158730158</x:v>
      </x:c>
      <x:c r="L827" s="133" t="n">
        <x:v>0.9584664536741214</x:v>
      </x:c>
      <x:c r="M827" s="133" t="n">
        <x:v>0.97442143727162</x:v>
      </x:c>
      <x:c r="N827" s="133" t="n">
        <x:v>0.970873786407767</x:v>
      </x:c>
      <x:c r="O827" s="133" t="n">
        <x:v>0.8097165991902834</x:v>
      </x:c>
      <x:c r="P827" s="132"/>
    </x:row>
    <x:row r="828">
      <x:c r="A828" s="136" t="str">
        <x:v>01025957500</x:v>
      </x:c>
      <x:c r="B828" s="132" t="str">
        <x:v>Clarke County</x:v>
      </x:c>
      <x:c r="C828" s="132" t="n">
        <x:v>0</x:v>
      </x:c>
      <x:c r="D828" s="134" t="n">
        <x:v>1531</x:v>
      </x:c>
      <x:c r="E828" s="133" t="n">
        <x:v>13.4</x:v>
      </x:c>
      <x:c r="F828" s="134" t="n">
        <x:v>1040</x:v>
      </x:c>
      <x:c r="G828" s="134" t="n">
        <x:v>0</x:v>
      </x:c>
      <x:c r="H828" s="134" t="n">
        <x:v>23</x:v>
      </x:c>
      <x:c r="I828" s="134" t="n">
        <x:v>16</x:v>
      </x:c>
      <x:c r="J828" s="133" t="n">
        <x:v>1.5022860875244939</x:v>
      </x:c>
      <x:c r="K828" s="133" t="n">
        <x:v>1.5384615384615385</x:v>
      </x:c>
      <x:c r="L828" s="133" t="n">
        <x:v>1.4545454545454546</x:v>
      </x:c>
      <x:c r="M828" s="133" t="n">
        <x:v>1.4204545454545454</x:v>
      </x:c>
      <x:c r="N828" s="133" t="n">
        <x:v>0</x:v>
      </x:c>
      <x:c r="O828" s="133" t="n">
        <x:v>2</x:v>
      </x:c>
      <x:c r="P828" s="132"/>
    </x:row>
    <x:row r="829">
      <x:c r="A829" s="136" t="str">
        <x:v>01047957302</x:v>
      </x:c>
      <x:c r="B829" s="132" t="str">
        <x:v>Dallas County</x:v>
      </x:c>
      <x:c r="C829" s="132" t="n">
        <x:v>0</x:v>
      </x:c>
      <x:c r="D829" s="134" t="n">
        <x:v>1154</x:v>
      </x:c>
      <x:c r="E829" s="133" t="n">
        <x:v>20.8</x:v>
      </x:c>
      <x:c r="F829" s="134" t="n">
        <x:v>474</x:v>
      </x:c>
      <x:c r="G829" s="134" t="n">
        <x:v>0</x:v>
      </x:c>
      <x:c r="H829" s="134" t="n">
        <x:v>40</x:v>
      </x:c>
      <x:c r="I829" s="134" t="n">
        <x:v>16</x:v>
      </x:c>
      <x:c r="J829" s="133" t="n">
        <x:v>3.466204506065858</x:v>
      </x:c>
      <x:c r="K829" s="133" t="n">
        <x:v>3.3755274261603376</x:v>
      </x:c>
      <x:c r="L829" s="133" t="n">
        <x:v>3.255813953488372</x:v>
      </x:c>
      <x:c r="M829" s="133" t="n">
        <x:v>3.321033210332103</x:v>
      </x:c>
      <x:c r="N829" s="133" t="n">
        <x:v>3.9215686274509802</x:v>
      </x:c>
      <x:c r="O829" s="133" t="n">
        <x:v>3.7735849056603774</x:v>
      </x:c>
      <x:c r="P829" s="132"/>
    </x:row>
    <x:row r="830">
      <x:c r="A830" s="136" t="str">
        <x:v>01069041800</x:v>
      </x:c>
      <x:c r="B830" s="132" t="str">
        <x:v>Houston County</x:v>
      </x:c>
      <x:c r="C830" s="132" t="n">
        <x:v>0</x:v>
      </x:c>
      <x:c r="D830" s="134" t="n">
        <x:v>2050</x:v>
      </x:c>
      <x:c r="E830" s="133" t="n">
        <x:v>16.1</x:v>
      </x:c>
      <x:c r="F830" s="134" t="n">
        <x:v>1312</x:v>
      </x:c>
      <x:c r="G830" s="134" t="n">
        <x:v>0</x:v>
      </x:c>
      <x:c r="H830" s="134" t="n">
        <x:v>26</x:v>
      </x:c>
      <x:c r="I830" s="134" t="n">
        <x:v>16</x:v>
      </x:c>
      <x:c r="J830" s="133" t="n">
        <x:v>1.2682926829268293</x:v>
      </x:c>
      <x:c r="K830" s="133" t="n">
        <x:v>1.2195121951219512</x:v>
      </x:c>
      <x:c r="L830" s="133" t="n">
        <x:v>1.2919896640826873</x:v>
      </x:c>
      <x:c r="M830" s="133" t="n">
        <x:v>1.1787819253438114</x:v>
      </x:c>
      <x:c r="N830" s="133" t="n">
        <x:v>0</x:v>
      </x:c>
      <x:c r="O830" s="133" t="n">
        <x:v>1.1173184357541899</x:v>
      </x:c>
      <x:c r="P830" s="132"/>
    </x:row>
    <x:row r="831">
      <x:c r="A831" s="136" t="str">
        <x:v>01073000100</x:v>
      </x:c>
      <x:c r="B831" s="132" t="str">
        <x:v>Jefferson County</x:v>
      </x:c>
      <x:c r="C831" s="132" t="n">
        <x:v>1</x:v>
      </x:c>
      <x:c r="D831" s="134" t="n">
        <x:v>2809</x:v>
      </x:c>
      <x:c r="E831" s="133" t="n">
        <x:v>12.6</x:v>
      </x:c>
      <x:c r="F831" s="134" t="n">
        <x:v>1014</x:v>
      </x:c>
      <x:c r="G831" s="134" t="n">
        <x:v>0</x:v>
      </x:c>
      <x:c r="H831" s="134" t="n">
        <x:v>43</x:v>
      </x:c>
      <x:c r="I831" s="134" t="n">
        <x:v>16</x:v>
      </x:c>
      <x:c r="J831" s="133" t="n">
        <x:v>1.5307938768244926</x:v>
      </x:c>
      <x:c r="K831" s="133" t="n">
        <x:v>1.5779092702169626</x:v>
      </x:c>
      <x:c r="L831" s="133" t="n">
        <x:v>1.4906832298136645</x:v>
      </x:c>
      <x:c r="M831" s="133" t="n">
        <x:v>1.529051987767584</x:v>
      </x:c>
      <x:c r="N831" s="133" t="n">
        <x:v>1.3605442176870748</x:v>
      </x:c>
      <x:c r="O831" s="133" t="n">
        <x:v>1.5317286652078774</x:v>
      </x:c>
      <x:c r="P831" s="132"/>
    </x:row>
    <x:row r="832">
      <x:c r="A832" s="136" t="str">
        <x:v>01073005000</x:v>
      </x:c>
      <x:c r="B832" s="132" t="str">
        <x:v>Jefferson County</x:v>
      </x:c>
      <x:c r="C832" s="132" t="n">
        <x:v>1</x:v>
      </x:c>
      <x:c r="D832" s="134" t="n">
        <x:v>3374</x:v>
      </x:c>
      <x:c r="E832" s="133" t="n">
        <x:v>13.3</x:v>
      </x:c>
      <x:c r="F832" s="134" t="n">
        <x:v>2293</x:v>
      </x:c>
      <x:c r="G832" s="134" t="n">
        <x:v>0</x:v>
      </x:c>
      <x:c r="H832" s="134" t="n">
        <x:v>24</x:v>
      </x:c>
      <x:c r="I832" s="134" t="n">
        <x:v>16</x:v>
      </x:c>
      <x:c r="J832" s="133" t="n">
        <x:v>0.7113218731475993</x:v>
      </x:c>
      <x:c r="K832" s="133" t="n">
        <x:v>0.6977758395115569</x:v>
      </x:c>
      <x:c r="L832" s="133" t="n">
        <x:v>0.7894736842105263</x:v>
      </x:c>
      <x:c r="M832" s="133" t="n">
        <x:v>0.6289308176100629</x:v>
      </x:c>
      <x:c r="N832" s="133" t="n">
        <x:v>0.5952380952380952</x:v>
      </x:c>
      <x:c r="O832" s="133" t="n">
        <x:v>0.7692307692307693</x:v>
      </x:c>
      <x:c r="P832" s="132"/>
    </x:row>
    <x:row r="833">
      <x:c r="A833" s="136" t="str">
        <x:v>01073005908</x:v>
      </x:c>
      <x:c r="B833" s="132" t="str">
        <x:v>Jefferson County</x:v>
      </x:c>
      <x:c r="C833" s="132" t="n">
        <x:v>1</x:v>
      </x:c>
      <x:c r="D833" s="134" t="n">
        <x:v>3644</x:v>
      </x:c>
      <x:c r="E833" s="133" t="n">
        <x:v>21</x:v>
      </x:c>
      <x:c r="F833" s="134" t="n">
        <x:v>1204</x:v>
      </x:c>
      <x:c r="G833" s="134" t="n">
        <x:v>0</x:v>
      </x:c>
      <x:c r="H833" s="134" t="n">
        <x:v>50</x:v>
      </x:c>
      <x:c r="I833" s="134" t="n">
        <x:v>16</x:v>
      </x:c>
      <x:c r="J833" s="133" t="n">
        <x:v>1.37211855104281</x:v>
      </x:c>
      <x:c r="K833" s="133" t="n">
        <x:v>1.3289036544850499</x:v>
      </x:c>
      <x:c r="L833" s="133" t="n">
        <x:v>1.3671875</x:v>
      </x:c>
      <x:c r="M833" s="133" t="n">
        <x:v>1.3333333333333333</x:v>
      </x:c>
      <x:c r="N833" s="133" t="n">
        <x:v>0.9259259259259259</x:v>
      </x:c>
      <x:c r="O833" s="133" t="n">
        <x:v>1.3114754098360655</x:v>
      </x:c>
      <x:c r="P833" s="132"/>
    </x:row>
    <x:row r="834">
      <x:c r="A834" s="136" t="str">
        <x:v>01077011606</x:v>
      </x:c>
      <x:c r="B834" s="132" t="str">
        <x:v>Lauderdale County</x:v>
      </x:c>
      <x:c r="C834" s="132" t="n">
        <x:v>0</x:v>
      </x:c>
      <x:c r="D834" s="134" t="n">
        <x:v>4214</x:v>
      </x:c>
      <x:c r="E834" s="133" t="n">
        <x:v>3.8</x:v>
      </x:c>
      <x:c r="F834" s="134" t="n">
        <x:v>4128</x:v>
      </x:c>
      <x:c r="G834" s="134" t="n">
        <x:v>0</x:v>
      </x:c>
      <x:c r="H834" s="134" t="n">
        <x:v>17</x:v>
      </x:c>
      <x:c r="I834" s="134" t="n">
        <x:v>16</x:v>
      </x:c>
      <x:c r="J834" s="133" t="n">
        <x:v>0.4034171808258187</x:v>
      </x:c>
      <x:c r="K834" s="133" t="n">
        <x:v>0.3875968992248062</x:v>
      </x:c>
      <x:c r="L834" s="133" t="n">
        <x:v>0.4028197381671702</x:v>
      </x:c>
      <x:c r="M834" s="133" t="n">
        <x:v>0.39011703511053314</x:v>
      </x:c>
      <x:c r="N834" s="133" t="n">
        <x:v>0</x:v>
      </x:c>
      <x:c r="O834" s="133" t="n">
        <x:v>0</x:v>
      </x:c>
      <x:c r="P834" s="132"/>
    </x:row>
    <x:row r="835">
      <x:c r="A835" s="136" t="str">
        <x:v>01081041002</x:v>
      </x:c>
      <x:c r="B835" s="132" t="str">
        <x:v>Lee County</x:v>
      </x:c>
      <x:c r="C835" s="132" t="n">
        <x:v>0</x:v>
      </x:c>
      <x:c r="D835" s="134" t="n">
        <x:v>4218</x:v>
      </x:c>
      <x:c r="E835" s="133" t="n">
        <x:v>15.2</x:v>
      </x:c>
      <x:c r="F835" s="134" t="n">
        <x:v>3341</x:v>
      </x:c>
      <x:c r="G835" s="134" t="n">
        <x:v>0</x:v>
      </x:c>
      <x:c r="H835" s="134" t="n">
        <x:v>20</x:v>
      </x:c>
      <x:c r="I835" s="134" t="n">
        <x:v>16</x:v>
      </x:c>
      <x:c r="J835" s="133" t="n">
        <x:v>0.474158368895211</x:v>
      </x:c>
      <x:c r="K835" s="133" t="n">
        <x:v>0.47889853337324156</x:v>
      </x:c>
      <x:c r="L835" s="133" t="n">
        <x:v>0.4784688995215311</x:v>
      </x:c>
      <x:c r="M835" s="133" t="n">
        <x:v>0.4909983633387889</x:v>
      </x:c>
      <x:c r="N835" s="133" t="n">
        <x:v>0</x:v>
      </x:c>
      <x:c r="O835" s="133" t="n">
        <x:v>0.48661800486618007</x:v>
      </x:c>
      <x:c r="P835" s="132"/>
    </x:row>
    <x:row r="836">
      <x:c r="A836" s="136" t="str">
        <x:v>01083020403</x:v>
      </x:c>
      <x:c r="B836" s="132" t="str">
        <x:v>Limestone County</x:v>
      </x:c>
      <x:c r="C836" s="132" t="n">
        <x:v>0</x:v>
      </x:c>
      <x:c r="D836" s="134" t="n">
        <x:v>3234</x:v>
      </x:c>
      <x:c r="E836" s="133" t="n">
        <x:v>17.7</x:v>
      </x:c>
      <x:c r="F836" s="134" t="n">
        <x:v>2521</x:v>
      </x:c>
      <x:c r="G836" s="134" t="n">
        <x:v>0</x:v>
      </x:c>
      <x:c r="H836" s="134" t="n">
        <x:v>21</x:v>
      </x:c>
      <x:c r="I836" s="134" t="n">
        <x:v>16</x:v>
      </x:c>
      <x:c r="J836" s="133" t="n">
        <x:v>0.6493506493506493</x:v>
      </x:c>
      <x:c r="K836" s="133" t="n">
        <x:v>0.6346687822292741</x:v>
      </x:c>
      <x:c r="L836" s="133" t="n">
        <x:v>0.5730659025787965</x:v>
      </x:c>
      <x:c r="M836" s="133" t="n">
        <x:v>0.6451612903225806</x:v>
      </x:c>
      <x:c r="N836" s="133" t="n">
        <x:v>0</x:v>
      </x:c>
      <x:c r="O836" s="133" t="n">
        <x:v>0.6711409395973155</x:v>
      </x:c>
      <x:c r="P836" s="132"/>
    </x:row>
    <x:row r="837">
      <x:c r="A837" s="136" t="str">
        <x:v>01025957902</x:v>
      </x:c>
      <x:c r="B837" s="132" t="str">
        <x:v>Clarke County</x:v>
      </x:c>
      <x:c r="C837" s="132" t="n">
        <x:v>0</x:v>
      </x:c>
      <x:c r="D837" s="134" t="n">
        <x:v>3794</x:v>
      </x:c>
      <x:c r="E837" s="133" t="n">
        <x:v>20.7</x:v>
      </x:c>
      <x:c r="F837" s="134" t="n">
        <x:v>2034</x:v>
      </x:c>
      <x:c r="G837" s="134" t="n">
        <x:v>0</x:v>
      </x:c>
      <x:c r="H837" s="134" t="n">
        <x:v>31</x:v>
      </x:c>
      <x:c r="I837" s="134" t="n">
        <x:v>17</x:v>
      </x:c>
      <x:c r="J837" s="133" t="n">
        <x:v>0.8170795993674222</x:v>
      </x:c>
      <x:c r="K837" s="133" t="n">
        <x:v>0.8357915437561455</x:v>
      </x:c>
      <x:c r="L837" s="133" t="n">
        <x:v>0.7672634271099744</x:v>
      </x:c>
      <x:c r="M837" s="133" t="n">
        <x:v>0.8373205741626795</x:v>
      </x:c>
      <x:c r="N837" s="133" t="n">
        <x:v>0.5586592178770949</x:v>
      </x:c>
      <x:c r="O837" s="133" t="n">
        <x:v>0.6557377049180327</x:v>
      </x:c>
      <x:c r="P837" s="132"/>
    </x:row>
    <x:row r="838">
      <x:c r="A838" s="136" t="str">
        <x:v>01047957100</x:v>
      </x:c>
      <x:c r="B838" s="132" t="str">
        <x:v>Dallas County</x:v>
      </x:c>
      <x:c r="C838" s="132" t="n">
        <x:v>0</x:v>
      </x:c>
      <x:c r="D838" s="134" t="n">
        <x:v>1157</x:v>
      </x:c>
      <x:c r="E838" s="133" t="n">
        <x:v>35.8</x:v>
      </x:c>
      <x:c r="F838" s="134" t="n">
        <x:v>578</x:v>
      </x:c>
      <x:c r="G838" s="134" t="n">
        <x:v>0</x:v>
      </x:c>
      <x:c r="H838" s="134" t="n">
        <x:v>34</x:v>
      </x:c>
      <x:c r="I838" s="134" t="n">
        <x:v>17</x:v>
      </x:c>
      <x:c r="J838" s="133" t="n">
        <x:v>2.9386343993085564</x:v>
      </x:c>
      <x:c r="K838" s="133" t="n">
        <x:v>2.9411764705882355</x:v>
      </x:c>
      <x:c r="L838" s="133" t="n">
        <x:v>2.7649769585253456</x:v>
      </x:c>
      <x:c r="M838" s="133" t="n">
        <x:v>2.962962962962963</x:v>
      </x:c>
      <x:c r="N838" s="133" t="n">
        <x:v>2.7522935779816513</x:v>
      </x:c>
      <x:c r="O838" s="133" t="n">
        <x:v>2.9585798816568047</x:v>
      </x:c>
      <x:c r="P838" s="132"/>
    </x:row>
    <x:row r="839">
      <x:c r="A839" s="136" t="str">
        <x:v>01073004902</x:v>
      </x:c>
      <x:c r="B839" s="132" t="str">
        <x:v>Jefferson County</x:v>
      </x:c>
      <x:c r="C839" s="132" t="n">
        <x:v>1</x:v>
      </x:c>
      <x:c r="D839" s="134" t="n">
        <x:v>3555</x:v>
      </x:c>
      <x:c r="E839" s="133" t="n">
        <x:v>18.9</x:v>
      </x:c>
      <x:c r="F839" s="134" t="n">
        <x:v>1932</x:v>
      </x:c>
      <x:c r="G839" s="134" t="n">
        <x:v>0</x:v>
      </x:c>
      <x:c r="H839" s="134" t="n">
        <x:v>31</x:v>
      </x:c>
      <x:c r="I839" s="134" t="n">
        <x:v>17</x:v>
      </x:c>
      <x:c r="J839" s="133" t="n">
        <x:v>0.8720112517580872</x:v>
      </x:c>
      <x:c r="K839" s="133" t="n">
        <x:v>0.8799171842650103</x:v>
      </x:c>
      <x:c r="L839" s="133" t="n">
        <x:v>1.0380622837370241</x:v>
      </x:c>
      <x:c r="M839" s="133" t="n">
        <x:v>0.8771929824561403</x:v>
      </x:c>
      <x:c r="N839" s="133" t="n">
        <x:v>0.9009009009009009</x:v>
      </x:c>
      <x:c r="O839" s="133" t="n">
        <x:v>0</x:v>
      </x:c>
      <x:c r="P839" s="132"/>
    </x:row>
    <x:row r="840">
      <x:c r="A840" s="136" t="str">
        <x:v>01097000600</x:v>
      </x:c>
      <x:c r="B840" s="132" t="str">
        <x:v>Mobile County</x:v>
      </x:c>
      <x:c r="C840" s="132" t="n">
        <x:v>1</x:v>
      </x:c>
      <x:c r="D840" s="134" t="n">
        <x:v>1512</x:v>
      </x:c>
      <x:c r="E840" s="133" t="n">
        <x:v>29.2</x:v>
      </x:c>
      <x:c r="F840" s="134" t="n">
        <x:v>637</x:v>
      </x:c>
      <x:c r="G840" s="134" t="n">
        <x:v>0</x:v>
      </x:c>
      <x:c r="H840" s="134" t="n">
        <x:v>41</x:v>
      </x:c>
      <x:c r="I840" s="134" t="n">
        <x:v>17</x:v>
      </x:c>
      <x:c r="J840" s="133" t="n">
        <x:v>2.7116402116402116</x:v>
      </x:c>
      <x:c r="K840" s="133" t="n">
        <x:v>2.6687598116169546</x:v>
      </x:c>
      <x:c r="L840" s="133" t="n">
        <x:v>2.7681660899653977</x:v>
      </x:c>
      <x:c r="M840" s="133" t="n">
        <x:v>2.763819095477387</x:v>
      </x:c>
      <x:c r="N840" s="133" t="n">
        <x:v>2.127659574468085</x:v>
      </x:c>
      <x:c r="O840" s="133" t="n">
        <x:v>2.6315789473684212</x:v>
      </x:c>
      <x:c r="P840" s="132"/>
    </x:row>
    <x:row r="841">
      <x:c r="A841" s="136" t="str">
        <x:v>01101002300</x:v>
      </x:c>
      <x:c r="B841" s="132" t="str">
        <x:v>Montgomery County</x:v>
      </x:c>
      <x:c r="C841" s="132" t="n">
        <x:v>1</x:v>
      </x:c>
      <x:c r="D841" s="134" t="n">
        <x:v>2501</x:v>
      </x:c>
      <x:c r="E841" s="133" t="n">
        <x:v>40.1</x:v>
      </x:c>
      <x:c r="F841" s="134" t="n">
        <x:v>1023</x:v>
      </x:c>
      <x:c r="G841" s="134" t="n">
        <x:v>0</x:v>
      </x:c>
      <x:c r="H841" s="134" t="n">
        <x:v>41</x:v>
      </x:c>
      <x:c r="I841" s="134" t="n">
        <x:v>17</x:v>
      </x:c>
      <x:c r="J841" s="133" t="n">
        <x:v>1.639344262295082</x:v>
      </x:c>
      <x:c r="K841" s="133" t="n">
        <x:v>1.66177908113392</x:v>
      </x:c>
      <x:c r="L841" s="133" t="n">
        <x:v>1.5909090909090908</x:v>
      </x:c>
      <x:c r="M841" s="133" t="n">
        <x:v>1.589825119236884</x:v>
      </x:c>
      <x:c r="N841" s="133" t="n">
        <x:v>1.8518518518518519</x:v>
      </x:c>
      <x:c r="O841" s="133" t="n">
        <x:v>1.7804154302670623</x:v>
      </x:c>
      <x:c r="P841" s="132"/>
    </x:row>
    <x:row r="842">
      <x:c r="A842" s="136" t="str">
        <x:v>01101005504</x:v>
      </x:c>
      <x:c r="B842" s="132" t="str">
        <x:v>Montgomery County</x:v>
      </x:c>
      <x:c r="C842" s="132" t="n">
        <x:v>0</x:v>
      </x:c>
      <x:c r="D842" s="134" t="n">
        <x:v>1829</x:v>
      </x:c>
      <x:c r="E842" s="133" t="n">
        <x:v>1.2</x:v>
      </x:c>
      <x:c r="F842" s="134" t="n">
        <x:v>1916</x:v>
      </x:c>
      <x:c r="G842" s="134" t="n">
        <x:v>0</x:v>
      </x:c>
      <x:c r="H842" s="134" t="n">
        <x:v>16</x:v>
      </x:c>
      <x:c r="I842" s="134" t="n">
        <x:v>17</x:v>
      </x:c>
      <x:c r="J842" s="133" t="n">
        <x:v>0.8747949699289229</x:v>
      </x:c>
      <x:c r="K842" s="133" t="n">
        <x:v>0.8872651356993737</x:v>
      </x:c>
      <x:c r="L842" s="133" t="n">
        <x:v>0.9191176470588235</x:v>
      </x:c>
      <x:c r="M842" s="133" t="n">
        <x:v>0.7380073800738007</x:v>
      </x:c>
      <x:c r="N842" s="133" t="n">
        <x:v>0</x:v>
      </x:c>
      <x:c r="O842" s="133"/>
      <x:c r="P842" s="132"/>
    </x:row>
    <x:row r="843">
      <x:c r="A843" s="136" t="str">
        <x:v>01019955702</x:v>
      </x:c>
      <x:c r="B843" s="132" t="str">
        <x:v>Cherokee County</x:v>
      </x:c>
      <x:c r="C843" s="132" t="n">
        <x:v>0</x:v>
      </x:c>
      <x:c r="D843" s="134" t="n">
        <x:v>3702</x:v>
      </x:c>
      <x:c r="E843" s="133" t="n">
        <x:v>10.7</x:v>
      </x:c>
      <x:c r="F843" s="134" t="n">
        <x:v>2250</x:v>
      </x:c>
      <x:c r="G843" s="134" t="n">
        <x:v>0</x:v>
      </x:c>
      <x:c r="H843" s="134" t="n">
        <x:v>29</x:v>
      </x:c>
      <x:c r="I843" s="134" t="n">
        <x:v>18</x:v>
      </x:c>
      <x:c r="J843" s="133" t="n">
        <x:v>0.7833603457590491</x:v>
      </x:c>
      <x:c r="K843" s="133" t="n">
        <x:v>0.8</x:v>
      </x:c>
      <x:c r="L843" s="133" t="n">
        <x:v>0.8415147265077139</x:v>
      </x:c>
      <x:c r="M843" s="133" t="n">
        <x:v>0.7945516458569807</x:v>
      </x:c>
      <x:c r="N843" s="133" t="n">
        <x:v>0</x:v>
      </x:c>
      <x:c r="O843" s="133" t="n">
        <x:v>1.0526315789473684</x:v>
      </x:c>
      <x:c r="P843" s="132"/>
    </x:row>
    <x:row r="844">
      <x:c r="A844" s="136" t="str">
        <x:v>01031010700</x:v>
      </x:c>
      <x:c r="B844" s="132" t="str">
        <x:v>Coffee County</x:v>
      </x:c>
      <x:c r="C844" s="132" t="n">
        <x:v>0</x:v>
      </x:c>
      <x:c r="D844" s="134" t="n">
        <x:v>2200</x:v>
      </x:c>
      <x:c r="E844" s="133" t="n">
        <x:v>12.3</x:v>
      </x:c>
      <x:c r="F844" s="134" t="n">
        <x:v>1809</x:v>
      </x:c>
      <x:c r="G844" s="134" t="n">
        <x:v>0</x:v>
      </x:c>
      <x:c r="H844" s="134" t="n">
        <x:v>22</x:v>
      </x:c>
      <x:c r="I844" s="134" t="n">
        <x:v>18</x:v>
      </x:c>
      <x:c r="J844" s="133" t="n">
        <x:v>1</x:v>
      </x:c>
      <x:c r="K844" s="133" t="n">
        <x:v>0.9950248756218906</x:v>
      </x:c>
      <x:c r="L844" s="133" t="n">
        <x:v>0.9029345372460497</x:v>
      </x:c>
      <x:c r="M844" s="133" t="n">
        <x:v>1.0245901639344261</x:v>
      </x:c>
      <x:c r="N844" s="133" t="n">
        <x:v>0</x:v>
      </x:c>
      <x:c r="O844" s="133" t="n">
        <x:v>0.8064516129032258</x:v>
      </x:c>
      <x:c r="P844" s="132"/>
    </x:row>
    <x:row r="845">
      <x:c r="A845" s="136" t="str">
        <x:v>01035960300</x:v>
      </x:c>
      <x:c r="B845" s="132" t="str">
        <x:v>Conecuh County</x:v>
      </x:c>
      <x:c r="C845" s="132" t="n">
        <x:v>0</x:v>
      </x:c>
      <x:c r="D845" s="134" t="n">
        <x:v>1579</x:v>
      </x:c>
      <x:c r="E845" s="133" t="n">
        <x:v>20.5</x:v>
      </x:c>
      <x:c r="F845" s="134" t="n">
        <x:v>890</x:v>
      </x:c>
      <x:c r="G845" s="134" t="n">
        <x:v>0</x:v>
      </x:c>
      <x:c r="H845" s="134" t="n">
        <x:v>32</x:v>
      </x:c>
      <x:c r="I845" s="134" t="n">
        <x:v>18</x:v>
      </x:c>
      <x:c r="J845" s="133" t="n">
        <x:v>2.026599113362888</x:v>
      </x:c>
      <x:c r="K845" s="133" t="n">
        <x:v>2.0224719101123596</x:v>
      </x:c>
      <x:c r="L845" s="133" t="n">
        <x:v>2.127659574468085</x:v>
      </x:c>
      <x:c r="M845" s="133" t="n">
        <x:v>2.0618556701030926</x:v>
      </x:c>
      <x:c r="N845" s="133" t="n">
        <x:v>0</x:v>
      </x:c>
      <x:c r="O845" s="133" t="n">
        <x:v>2.6666666666666665</x:v>
      </x:c>
      <x:c r="P845" s="132"/>
    </x:row>
    <x:row r="846">
      <x:c r="A846" s="136" t="str">
        <x:v>01049960800</x:v>
      </x:c>
      <x:c r="B846" s="132" t="str">
        <x:v>DeKalb County</x:v>
      </x:c>
      <x:c r="C846" s="132" t="n">
        <x:v>0</x:v>
      </x:c>
      <x:c r="D846" s="134" t="n">
        <x:v>4595</x:v>
      </x:c>
      <x:c r="E846" s="133" t="n">
        <x:v>17.8</x:v>
      </x:c>
      <x:c r="F846" s="134" t="n">
        <x:v>1616</x:v>
      </x:c>
      <x:c r="G846" s="134" t="n">
        <x:v>0</x:v>
      </x:c>
      <x:c r="H846" s="134" t="n">
        <x:v>51</x:v>
      </x:c>
      <x:c r="I846" s="134" t="n">
        <x:v>18</x:v>
      </x:c>
      <x:c r="J846" s="133" t="n">
        <x:v>1.1099020674646354</x:v>
      </x:c>
      <x:c r="K846" s="133" t="n">
        <x:v>1.113861386138614</x:v>
      </x:c>
      <x:c r="L846" s="133" t="n">
        <x:v>1.088646967340591</x:v>
      </x:c>
      <x:c r="M846" s="133" t="n">
        <x:v>1.1194029850746268</x:v>
      </x:c>
      <x:c r="N846" s="133" t="n">
        <x:v>1.2345679012345678</x:v>
      </x:c>
      <x:c r="O846" s="133" t="n">
        <x:v>0.9646302250803859</x:v>
      </x:c>
      <x:c r="P846" s="132"/>
    </x:row>
    <x:row r="847">
      <x:c r="A847" s="136" t="str">
        <x:v>01089011302</x:v>
      </x:c>
      <x:c r="B847" s="132" t="str">
        <x:v>Madison County</x:v>
      </x:c>
      <x:c r="C847" s="132" t="n">
        <x:v>0</x:v>
      </x:c>
      <x:c r="D847" s="134" t="n">
        <x:v>5111</x:v>
      </x:c>
      <x:c r="E847" s="133" t="n">
        <x:v>4.7</x:v>
      </x:c>
      <x:c r="F847" s="134" t="n">
        <x:v>4682</x:v>
      </x:c>
      <x:c r="G847" s="134" t="n">
        <x:v>0</x:v>
      </x:c>
      <x:c r="H847" s="134" t="n">
        <x:v>20</x:v>
      </x:c>
      <x:c r="I847" s="134" t="n">
        <x:v>18</x:v>
      </x:c>
      <x:c r="J847" s="133" t="n">
        <x:v>0.3913128546272745</x:v>
      </x:c>
      <x:c r="K847" s="133" t="n">
        <x:v>0.3844510892780863</x:v>
      </x:c>
      <x:c r="L847" s="133" t="n">
        <x:v>0.4180602006688963</x:v>
      </x:c>
      <x:c r="M847" s="133" t="n">
        <x:v>0.3614457831325301</x:v>
      </x:c>
      <x:c r="N847" s="133" t="n">
        <x:v>0</x:v>
      </x:c>
      <x:c r="O847" s="133" t="n">
        <x:v>0</x:v>
      </x:c>
      <x:c r="P847" s="132"/>
    </x:row>
    <x:row r="848">
      <x:c r="A848" s="136" t="str">
        <x:v>01097002501</x:v>
      </x:c>
      <x:c r="B848" s="132" t="str">
        <x:v>Mobile County</x:v>
      </x:c>
      <x:c r="C848" s="132" t="n">
        <x:v>1</x:v>
      </x:c>
      <x:c r="D848" s="134" t="n">
        <x:v>3448</x:v>
      </x:c>
      <x:c r="E848" s="133" t="n">
        <x:v>3.2</x:v>
      </x:c>
      <x:c r="F848" s="134" t="n">
        <x:v>3270</x:v>
      </x:c>
      <x:c r="G848" s="134" t="n">
        <x:v>0</x:v>
      </x:c>
      <x:c r="H848" s="134" t="n">
        <x:v>18</x:v>
      </x:c>
      <x:c r="I848" s="134" t="n">
        <x:v>18</x:v>
      </x:c>
      <x:c r="J848" s="133" t="n">
        <x:v>0.5220417633410673</x:v>
      </x:c>
      <x:c r="K848" s="133" t="n">
        <x:v>0.5504587155963303</x:v>
      </x:c>
      <x:c r="L848" s="133" t="n">
        <x:v>0.4716981132075472</x:v>
      </x:c>
      <x:c r="M848" s="133" t="n">
        <x:v>0.4444444444444444</x:v>
      </x:c>
      <x:c r="N848" s="133"/>
      <x:c r="O848" s="133" t="n">
        <x:v>0</x:v>
      </x:c>
      <x:c r="P848" s="132"/>
    </x:row>
    <x:row r="849">
      <x:c r="A849" s="136" t="str">
        <x:v>01109188800</x:v>
      </x:c>
      <x:c r="B849" s="132" t="str">
        <x:v>Pike County</x:v>
      </x:c>
      <x:c r="C849" s="132" t="n">
        <x:v>0</x:v>
      </x:c>
      <x:c r="D849" s="134" t="n">
        <x:v>2404</x:v>
      </x:c>
      <x:c r="E849" s="133" t="n">
        <x:v>15.5</x:v>
      </x:c>
      <x:c r="F849" s="134" t="n">
        <x:v>1599</x:v>
      </x:c>
      <x:c r="G849" s="134" t="n">
        <x:v>0</x:v>
      </x:c>
      <x:c r="H849" s="134" t="n">
        <x:v>27</x:v>
      </x:c>
      <x:c r="I849" s="134" t="n">
        <x:v>18</x:v>
      </x:c>
      <x:c r="J849" s="133" t="n">
        <x:v>1.1231281198003327</x:v>
      </x:c>
      <x:c r="K849" s="133" t="n">
        <x:v>1.125703564727955</x:v>
      </x:c>
      <x:c r="L849" s="133" t="n">
        <x:v>1.183431952662722</x:v>
      </x:c>
      <x:c r="M849" s="133" t="n">
        <x:v>1.1494252873563218</x:v>
      </x:c>
      <x:c r="N849" s="133" t="n">
        <x:v>0</x:v>
      </x:c>
      <x:c r="O849" s="133" t="n">
        <x:v>0.7633587786259542</x:v>
      </x:c>
      <x:c r="P849" s="132"/>
    </x:row>
    <x:row r="850">
      <x:c r="A850" s="136" t="str">
        <x:v>01015002200</x:v>
      </x:c>
      <x:c r="B850" s="132" t="str">
        <x:v>Calhoun County</x:v>
      </x:c>
      <x:c r="C850" s="132" t="n">
        <x:v>0</x:v>
      </x:c>
      <x:c r="D850" s="134" t="n">
        <x:v>3625</x:v>
      </x:c>
      <x:c r="E850" s="133" t="n">
        <x:v>20.7</x:v>
      </x:c>
      <x:c r="F850" s="134" t="n">
        <x:v>2246</x:v>
      </x:c>
      <x:c r="G850" s="134" t="n">
        <x:v>0</x:v>
      </x:c>
      <x:c r="H850" s="134" t="n">
        <x:v>31</x:v>
      </x:c>
      <x:c r="I850" s="134" t="n">
        <x:v>19</x:v>
      </x:c>
      <x:c r="J850" s="133" t="n">
        <x:v>0.8551724137931035</x:v>
      </x:c>
      <x:c r="K850" s="133" t="n">
        <x:v>0.8459483526268923</x:v>
      </x:c>
      <x:c r="L850" s="133" t="n">
        <x:v>0.8174386920980926</x:v>
      </x:c>
      <x:c r="M850" s="133" t="n">
        <x:v>0.91324200913242</x:v>
      </x:c>
      <x:c r="N850" s="133" t="n">
        <x:v>0</x:v>
      </x:c>
      <x:c r="O850" s="133" t="n">
        <x:v>0.91324200913242</x:v>
      </x:c>
      <x:c r="P850" s="132"/>
    </x:row>
    <x:row r="851">
      <x:c r="A851" s="136" t="str">
        <x:v>01065040100</x:v>
      </x:c>
      <x:c r="B851" s="132" t="str">
        <x:v>Hale County</x:v>
      </x:c>
      <x:c r="C851" s="132" t="n">
        <x:v>0</x:v>
      </x:c>
      <x:c r="D851" s="134" t="n">
        <x:v>1627</x:v>
      </x:c>
      <x:c r="E851" s="133" t="n">
        <x:v>5.8</x:v>
      </x:c>
      <x:c r="F851" s="134" t="n">
        <x:v>1049</x:v>
      </x:c>
      <x:c r="G851" s="134" t="n">
        <x:v>0</x:v>
      </x:c>
      <x:c r="H851" s="134" t="n">
        <x:v>29</x:v>
      </x:c>
      <x:c r="I851" s="134" t="n">
        <x:v>19</x:v>
      </x:c>
      <x:c r="J851" s="133" t="n">
        <x:v>1.782421634910879</x:v>
      </x:c>
      <x:c r="K851" s="133" t="n">
        <x:v>1.8112488083889418</x:v>
      </x:c>
      <x:c r="L851" s="133" t="n">
        <x:v>1.791044776119403</x:v>
      </x:c>
      <x:c r="M851" s="133" t="n">
        <x:v>1.7699115044247788</x:v>
      </x:c>
      <x:c r="N851" s="133" t="n">
        <x:v>0</x:v>
      </x:c>
      <x:c r="O851" s="133" t="n">
        <x:v>1.8518518518518519</x:v>
      </x:c>
      <x:c r="P851" s="132"/>
    </x:row>
    <x:row r="852">
      <x:c r="A852" s="136" t="str">
        <x:v>01085781200</x:v>
      </x:c>
      <x:c r="B852" s="132" t="str">
        <x:v>Lowndes County</x:v>
      </x:c>
      <x:c r="C852" s="132" t="n">
        <x:v>0</x:v>
      </x:c>
      <x:c r="D852" s="134" t="n">
        <x:v>2707</x:v>
      </x:c>
      <x:c r="E852" s="133" t="n">
        <x:v>36.5</x:v>
      </x:c>
      <x:c r="F852" s="134" t="n">
        <x:v>1094</x:v>
      </x:c>
      <x:c r="G852" s="134" t="n">
        <x:v>0</x:v>
      </x:c>
      <x:c r="H852" s="134" t="n">
        <x:v>47</x:v>
      </x:c>
      <x:c r="I852" s="134" t="n">
        <x:v>19</x:v>
      </x:c>
      <x:c r="J852" s="133" t="n">
        <x:v>1.736239379386775</x:v>
      </x:c>
      <x:c r="K852" s="133" t="n">
        <x:v>1.736745886654479</x:v>
      </x:c>
      <x:c r="L852" s="133" t="n">
        <x:v>1.8032786885245902</x:v>
      </x:c>
      <x:c r="M852" s="133" t="n">
        <x:v>1.797752808988764</x:v>
      </x:c>
      <x:c r="N852" s="133" t="n">
        <x:v>1.7543859649122806</x:v>
      </x:c>
      <x:c r="O852" s="133" t="n">
        <x:v>1.5822784810126582</x:v>
      </x:c>
      <x:c r="P852" s="132"/>
    </x:row>
    <x:row r="853">
      <x:c r="A853" s="136" t="str">
        <x:v>01097002600</x:v>
      </x:c>
      <x:c r="B853" s="132" t="str">
        <x:v>Mobile County</x:v>
      </x:c>
      <x:c r="C853" s="132" t="n">
        <x:v>1</x:v>
      </x:c>
      <x:c r="D853" s="134" t="n">
        <x:v>2400</x:v>
      </x:c>
      <x:c r="E853" s="133" t="n">
        <x:v>14.7</x:v>
      </x:c>
      <x:c r="F853" s="134" t="n">
        <x:v>1044</x:v>
      </x:c>
      <x:c r="G853" s="134" t="n">
        <x:v>0</x:v>
      </x:c>
      <x:c r="H853" s="134" t="n">
        <x:v>43</x:v>
      </x:c>
      <x:c r="I853" s="134" t="n">
        <x:v>19</x:v>
      </x:c>
      <x:c r="J853" s="133" t="n">
        <x:v>1.7916666666666667</x:v>
      </x:c>
      <x:c r="K853" s="133" t="n">
        <x:v>1.8199233716475096</x:v>
      </x:c>
      <x:c r="L853" s="133" t="n">
        <x:v>1.8672199170124482</x:v>
      </x:c>
      <x:c r="M853" s="133" t="n">
        <x:v>1.7883755588673622</x:v>
      </x:c>
      <x:c r="N853" s="133" t="n">
        <x:v>1.7699115044247788</x:v>
      </x:c>
      <x:c r="O853" s="133" t="n">
        <x:v>1.829268292682927</x:v>
      </x:c>
      <x:c r="P853" s="132"/>
    </x:row>
    <x:row r="854">
      <x:c r="A854" s="136" t="str">
        <x:v>01101003304</x:v>
      </x:c>
      <x:c r="B854" s="132" t="str">
        <x:v>Montgomery County</x:v>
      </x:c>
      <x:c r="C854" s="132" t="n">
        <x:v>1</x:v>
      </x:c>
      <x:c r="D854" s="134" t="n">
        <x:v>3723</x:v>
      </x:c>
      <x:c r="E854" s="133" t="n">
        <x:v>22.8</x:v>
      </x:c>
      <x:c r="F854" s="134" t="n">
        <x:v>1504</x:v>
      </x:c>
      <x:c r="G854" s="134" t="n">
        <x:v>0</x:v>
      </x:c>
      <x:c r="H854" s="134" t="n">
        <x:v>47</x:v>
      </x:c>
      <x:c r="I854" s="134" t="n">
        <x:v>19</x:v>
      </x:c>
      <x:c r="J854" s="133" t="n">
        <x:v>1.2624227773301102</x:v>
      </x:c>
      <x:c r="K854" s="133" t="n">
        <x:v>1.2632978723404256</x:v>
      </x:c>
      <x:c r="L854" s="133" t="n">
        <x:v>1.3054830287206267</x:v>
      </x:c>
      <x:c r="M854" s="133" t="n">
        <x:v>1.3282732447817838</x:v>
      </x:c>
      <x:c r="N854" s="133" t="n">
        <x:v>1.3937282229965158</x:v>
      </x:c>
      <x:c r="O854" s="133" t="n">
        <x:v>1.2684989429175475</x:v>
      </x:c>
      <x:c r="P854" s="132"/>
    </x:row>
    <x:row r="855">
      <x:c r="A855" s="136" t="str">
        <x:v>01125012408</x:v>
      </x:c>
      <x:c r="B855" s="132" t="str">
        <x:v>Tuscaloosa County</x:v>
      </x:c>
      <x:c r="C855" s="132" t="n">
        <x:v>1</x:v>
      </x:c>
      <x:c r="D855" s="134" t="n">
        <x:v>2388</x:v>
      </x:c>
      <x:c r="E855" s="133" t="n">
        <x:v>26.5</x:v>
      </x:c>
      <x:c r="F855" s="134" t="n">
        <x:v>967</x:v>
      </x:c>
      <x:c r="G855" s="134" t="n">
        <x:v>0</x:v>
      </x:c>
      <x:c r="H855" s="134" t="n">
        <x:v>47</x:v>
      </x:c>
      <x:c r="I855" s="134" t="n">
        <x:v>19</x:v>
      </x:c>
      <x:c r="J855" s="133" t="n">
        <x:v>1.968174204355109</x:v>
      </x:c>
      <x:c r="K855" s="133" t="n">
        <x:v>1.9648397104446742</x:v>
      </x:c>
      <x:c r="L855" s="133" t="n">
        <x:v>1.9230769230769231</x:v>
      </x:c>
      <x:c r="M855" s="133" t="n">
        <x:v>2.0618556701030926</x:v>
      </x:c>
      <x:c r="N855" s="133" t="n">
        <x:v>2.097902097902098</x:v>
      </x:c>
      <x:c r="O855" s="133" t="n">
        <x:v>2.005730659025788</x:v>
      </x:c>
      <x:c r="P855" s="132"/>
    </x:row>
    <x:row r="856">
      <x:c r="A856" s="136" t="str">
        <x:v>01057020400</x:v>
      </x:c>
      <x:c r="B856" s="132" t="str">
        <x:v>Fayette County</x:v>
      </x:c>
      <x:c r="C856" s="132" t="n">
        <x:v>0</x:v>
      </x:c>
      <x:c r="D856" s="134" t="n">
        <x:v>3579</x:v>
      </x:c>
      <x:c r="E856" s="133" t="n">
        <x:v>23.6</x:v>
      </x:c>
      <x:c r="F856" s="134" t="n">
        <x:v>2135</x:v>
      </x:c>
      <x:c r="G856" s="134" t="n">
        <x:v>0</x:v>
      </x:c>
      <x:c r="H856" s="134" t="n">
        <x:v>33</x:v>
      </x:c>
      <x:c r="I856" s="134" t="n">
        <x:v>20</x:v>
      </x:c>
      <x:c r="J856" s="133" t="n">
        <x:v>0.9220452640402347</x:v>
      </x:c>
      <x:c r="K856" s="133" t="n">
        <x:v>0.936768149882904</x:v>
      </x:c>
      <x:c r="L856" s="133" t="n">
        <x:v>0.9512485136741974</x:v>
      </x:c>
      <x:c r="M856" s="133" t="n">
        <x:v>0.8915304606240714</x:v>
      </x:c>
      <x:c r="N856" s="133" t="n">
        <x:v>0</x:v>
      </x:c>
      <x:c r="O856" s="133" t="n">
        <x:v>1.1111111111111112</x:v>
      </x:c>
      <x:c r="P856" s="132"/>
    </x:row>
    <x:row r="857">
      <x:c r="A857" s="136" t="str">
        <x:v>01073012918</x:v>
      </x:c>
      <x:c r="B857" s="132" t="str">
        <x:v>Jefferson County</x:v>
      </x:c>
      <x:c r="C857" s="132" t="n">
        <x:v>1</x:v>
      </x:c>
      <x:c r="D857" s="134" t="n">
        <x:v>2472</x:v>
      </x:c>
      <x:c r="E857" s="133" t="n">
        <x:v>2.7</x:v>
      </x:c>
      <x:c r="F857" s="134" t="n">
        <x:v>1669</x:v>
      </x:c>
      <x:c r="G857" s="134" t="n">
        <x:v>0</x:v>
      </x:c>
      <x:c r="H857" s="134" t="n">
        <x:v>30</x:v>
      </x:c>
      <x:c r="I857" s="134" t="n">
        <x:v>20</x:v>
      </x:c>
      <x:c r="J857" s="133" t="n">
        <x:v>1.2135922330097086</x:v>
      </x:c>
      <x:c r="K857" s="133" t="n">
        <x:v>1.1983223487118035</x:v>
      </x:c>
      <x:c r="L857" s="133" t="n">
        <x:v>1.1741682974559686</x:v>
      </x:c>
      <x:c r="M857" s="133" t="n">
        <x:v>1.0909090909090908</x:v>
      </x:c>
      <x:c r="N857" s="133" t="n">
        <x:v>1.4705882352941178</x:v>
      </x:c>
      <x:c r="O857" s="133" t="n">
        <x:v>1.1627906976744187</x:v>
      </x:c>
      <x:c r="P857" s="132"/>
    </x:row>
    <x:row r="858">
      <x:c r="A858" s="136" t="str">
        <x:v>01097006104</x:v>
      </x:c>
      <x:c r="B858" s="132" t="str">
        <x:v>Mobile County</x:v>
      </x:c>
      <x:c r="C858" s="132" t="n">
        <x:v>0</x:v>
      </x:c>
      <x:c r="D858" s="134" t="n">
        <x:v>4467</x:v>
      </x:c>
      <x:c r="E858" s="133" t="n">
        <x:v>13.9</x:v>
      </x:c>
      <x:c r="F858" s="134" t="n">
        <x:v>3087</x:v>
      </x:c>
      <x:c r="G858" s="134" t="n">
        <x:v>0</x:v>
      </x:c>
      <x:c r="H858" s="134" t="n">
        <x:v>29</x:v>
      </x:c>
      <x:c r="I858" s="134" t="n">
        <x:v>20</x:v>
      </x:c>
      <x:c r="J858" s="133" t="n">
        <x:v>0.6492052831878218</x:v>
      </x:c>
      <x:c r="K858" s="133" t="n">
        <x:v>0.6478781988986071</x:v>
      </x:c>
      <x:c r="L858" s="133" t="n">
        <x:v>0.6782945736434108</x:v>
      </x:c>
      <x:c r="M858" s="133" t="n">
        <x:v>0.6443298969072165</x:v>
      </x:c>
      <x:c r="N858" s="133" t="n">
        <x:v>0.5617977528089888</x:v>
      </x:c>
      <x:c r="O858" s="133" t="n">
        <x:v>0.5882352941176471</x:v>
      </x:c>
      <x:c r="P858" s="132"/>
    </x:row>
    <x:row r="859">
      <x:c r="A859" s="136" t="str">
        <x:v>01101005903</x:v>
      </x:c>
      <x:c r="B859" s="132" t="str">
        <x:v>Montgomery County</x:v>
      </x:c>
      <x:c r="C859" s="132" t="n">
        <x:v>0</x:v>
      </x:c>
      <x:c r="D859" s="134" t="n">
        <x:v>1943</x:v>
      </x:c>
      <x:c r="E859" s="133" t="n">
        <x:v>13.5</x:v>
      </x:c>
      <x:c r="F859" s="134" t="n">
        <x:v>1463</x:v>
      </x:c>
      <x:c r="G859" s="134" t="n">
        <x:v>0</x:v>
      </x:c>
      <x:c r="H859" s="134" t="n">
        <x:v>26</x:v>
      </x:c>
      <x:c r="I859" s="134" t="n">
        <x:v>20</x:v>
      </x:c>
      <x:c r="J859" s="133" t="n">
        <x:v>1.3381369016984046</x:v>
      </x:c>
      <x:c r="K859" s="133" t="n">
        <x:v>1.367053998632946</x:v>
      </x:c>
      <x:c r="L859" s="133" t="n">
        <x:v>1.4970059880239521</x:v>
      </x:c>
      <x:c r="M859" s="133" t="n">
        <x:v>1.3358778625954197</x:v>
      </x:c>
      <x:c r="N859" s="133" t="n">
        <x:v>0</x:v>
      </x:c>
      <x:c r="O859" s="133" t="n">
        <x:v>2.0408163265306123</x:v>
      </x:c>
      <x:c r="P859" s="132"/>
    </x:row>
    <x:row r="860">
      <x:c r="A860" s="136" t="str">
        <x:v>01103000400</x:v>
      </x:c>
      <x:c r="B860" s="132" t="str">
        <x:v>Morgan County</x:v>
      </x:c>
      <x:c r="C860" s="132" t="n">
        <x:v>1</x:v>
      </x:c>
      <x:c r="D860" s="134" t="n">
        <x:v>4027</x:v>
      </x:c>
      <x:c r="E860" s="133" t="n">
        <x:v>8.8</x:v>
      </x:c>
      <x:c r="F860" s="134" t="n">
        <x:v>2397</x:v>
      </x:c>
      <x:c r="G860" s="134" t="n">
        <x:v>0</x:v>
      </x:c>
      <x:c r="H860" s="134" t="n">
        <x:v>34</x:v>
      </x:c>
      <x:c r="I860" s="134" t="n">
        <x:v>20</x:v>
      </x:c>
      <x:c r="J860" s="133" t="n">
        <x:v>0.8443009684628756</x:v>
      </x:c>
      <x:c r="K860" s="133" t="n">
        <x:v>0.8343763037129746</x:v>
      </x:c>
      <x:c r="L860" s="133" t="n">
        <x:v>0.7889546351084813</x:v>
      </x:c>
      <x:c r="M860" s="133" t="n">
        <x:v>0.8225616921269095</x:v>
      </x:c>
      <x:c r="N860" s="133" t="n">
        <x:v>1.0869565217391304</x:v>
      </x:c>
      <x:c r="O860" s="133" t="n">
        <x:v>0.7142857142857143</x:v>
      </x:c>
      <x:c r="P860" s="132"/>
    </x:row>
    <x:row r="861">
      <x:c r="A861" s="136" t="str">
        <x:v>01125012102</x:v>
      </x:c>
      <x:c r="B861" s="132" t="str">
        <x:v>Tuscaloosa County</x:v>
      </x:c>
      <x:c r="C861" s="132" t="n">
        <x:v>1</x:v>
      </x:c>
      <x:c r="D861" s="134" t="n">
        <x:v>2535</x:v>
      </x:c>
      <x:c r="E861" s="133" t="n">
        <x:v>34</x:v>
      </x:c>
      <x:c r="F861" s="134" t="n">
        <x:v>1225</x:v>
      </x:c>
      <x:c r="G861" s="134" t="n">
        <x:v>0</x:v>
      </x:c>
      <x:c r="H861" s="134" t="n">
        <x:v>41</x:v>
      </x:c>
      <x:c r="I861" s="134" t="n">
        <x:v>20</x:v>
      </x:c>
      <x:c r="J861" s="133" t="n">
        <x:v>1.6173570019723866</x:v>
      </x:c>
      <x:c r="K861" s="133" t="n">
        <x:v>1.6326530612244898</x:v>
      </x:c>
      <x:c r="L861" s="133" t="n">
        <x:v>1.6891891891891893</x:v>
      </x:c>
      <x:c r="M861" s="133" t="n">
        <x:v>1.606425702811245</x:v>
      </x:c>
      <x:c r="N861" s="133" t="n">
        <x:v>1.9801980198019802</x:v>
      </x:c>
      <x:c r="O861" s="133" t="n">
        <x:v>1.098901098901099</x:v>
      </x:c>
      <x:c r="P861" s="132"/>
    </x:row>
    <x:row r="862">
      <x:c r="A862" s="136" t="str">
        <x:v>01015002400</x:v>
      </x:c>
      <x:c r="B862" s="132" t="str">
        <x:v>Calhoun County</x:v>
      </x:c>
      <x:c r="C862" s="132" t="n">
        <x:v>0</x:v>
      </x:c>
      <x:c r="D862" s="134" t="n">
        <x:v>4402</x:v>
      </x:c>
      <x:c r="E862" s="133" t="n">
        <x:v>16.9</x:v>
      </x:c>
      <x:c r="F862" s="134" t="n">
        <x:v>2502</x:v>
      </x:c>
      <x:c r="G862" s="134" t="n">
        <x:v>0</x:v>
      </x:c>
      <x:c r="H862" s="134" t="n">
        <x:v>36</x:v>
      </x:c>
      <x:c r="I862" s="134" t="n">
        <x:v>21</x:v>
      </x:c>
      <x:c r="J862" s="133" t="n">
        <x:v>0.817810086324398</x:v>
      </x:c>
      <x:c r="K862" s="133" t="n">
        <x:v>0.8393285371702638</x:v>
      </x:c>
      <x:c r="L862" s="133" t="n">
        <x:v>0.8639308855291576</x:v>
      </x:c>
      <x:c r="M862" s="133" t="n">
        <x:v>0.8235294117647058</x:v>
      </x:c>
      <x:c r="N862" s="133" t="n">
        <x:v>1.25</x:v>
      </x:c>
      <x:c r="O862" s="133" t="n">
        <x:v>0.6944444444444444</x:v>
      </x:c>
      <x:c r="P862" s="132"/>
    </x:row>
    <x:row r="863">
      <x:c r="A863" s="136" t="str">
        <x:v>01047956500</x:v>
      </x:c>
      <x:c r="B863" s="132" t="str">
        <x:v>Dallas County</x:v>
      </x:c>
      <x:c r="C863" s="132" t="n">
        <x:v>1</x:v>
      </x:c>
      <x:c r="D863" s="134" t="n">
        <x:v>2883</x:v>
      </x:c>
      <x:c r="E863" s="133" t="n">
        <x:v>31.7</x:v>
      </x:c>
      <x:c r="F863" s="134" t="n">
        <x:v>1033</x:v>
      </x:c>
      <x:c r="G863" s="134" t="n">
        <x:v>0</x:v>
      </x:c>
      <x:c r="H863" s="134" t="n">
        <x:v>57</x:v>
      </x:c>
      <x:c r="I863" s="134" t="n">
        <x:v>21</x:v>
      </x:c>
      <x:c r="J863" s="133" t="n">
        <x:v>1.9771071800208118</x:v>
      </x:c>
      <x:c r="K863" s="133" t="n">
        <x:v>2.032913843175218</x:v>
      </x:c>
      <x:c r="L863" s="133" t="n">
        <x:v>2.056555269922879</x:v>
      </x:c>
      <x:c r="M863" s="133" t="n">
        <x:v>1.910828025477707</x:v>
      </x:c>
      <x:c r="N863" s="133" t="n">
        <x:v>2.158273381294964</x:v>
      </x:c>
      <x:c r="O863" s="133" t="n">
        <x:v>2.0319303338171264</x:v>
      </x:c>
      <x:c r="P863" s="132"/>
    </x:row>
    <x:row r="864">
      <x:c r="A864" s="136" t="str">
        <x:v>01073010701</x:v>
      </x:c>
      <x:c r="B864" s="132" t="str">
        <x:v>Jefferson County</x:v>
      </x:c>
      <x:c r="C864" s="132" t="n">
        <x:v>1</x:v>
      </x:c>
      <x:c r="D864" s="134" t="n">
        <x:v>1817</x:v>
      </x:c>
      <x:c r="E864" s="133" t="n">
        <x:v>11.8</x:v>
      </x:c>
      <x:c r="F864" s="134" t="n">
        <x:v>1238</x:v>
      </x:c>
      <x:c r="G864" s="134" t="n">
        <x:v>0</x:v>
      </x:c>
      <x:c r="H864" s="134" t="n">
        <x:v>31</x:v>
      </x:c>
      <x:c r="I864" s="134" t="n">
        <x:v>21</x:v>
      </x:c>
      <x:c r="J864" s="133" t="n">
        <x:v>1.7061089708310402</x:v>
      </x:c>
      <x:c r="K864" s="133" t="n">
        <x:v>1.6962843295638126</x:v>
      </x:c>
      <x:c r="L864" s="133" t="n">
        <x:v>1.7167381974248928</x:v>
      </x:c>
      <x:c r="M864" s="133" t="n">
        <x:v>1.6260162601626016</x:v>
      </x:c>
      <x:c r="N864" s="133" t="n">
        <x:v>2.7777777777777777</x:v>
      </x:c>
      <x:c r="O864" s="133" t="n">
        <x:v>2.0408163265306123</x:v>
      </x:c>
      <x:c r="P864" s="132"/>
    </x:row>
    <x:row r="865">
      <x:c r="A865" s="136" t="str">
        <x:v>01081040401</x:v>
      </x:c>
      <x:c r="B865" s="132" t="str">
        <x:v>Lee County</x:v>
      </x:c>
      <x:c r="C865" s="132" t="n">
        <x:v>1</x:v>
      </x:c>
      <x:c r="D865" s="134" t="n">
        <x:v>3532</x:v>
      </x:c>
      <x:c r="E865" s="133" t="n">
        <x:v>54.2</x:v>
      </x:c>
      <x:c r="F865" s="134" t="n">
        <x:v>688</x:v>
      </x:c>
      <x:c r="G865" s="134" t="n">
        <x:v>0</x:v>
      </x:c>
      <x:c r="H865" s="134" t="n">
        <x:v>110</x:v>
      </x:c>
      <x:c r="I865" s="134" t="n">
        <x:v>21</x:v>
      </x:c>
      <x:c r="J865" s="133" t="n">
        <x:v>3.114382785956965</x:v>
      </x:c>
      <x:c r="K865" s="133" t="n">
        <x:v>3.052325581395349</x:v>
      </x:c>
      <x:c r="L865" s="133" t="n">
        <x:v>3.0651340996168583</x:v>
      </x:c>
      <x:c r="M865" s="133" t="n">
        <x:v>2.5641025641025643</x:v>
      </x:c>
      <x:c r="N865" s="133"/>
      <x:c r="O865" s="133" t="n">
        <x:v>3.2467532467532467</x:v>
      </x:c>
      <x:c r="P865" s="132"/>
    </x:row>
    <x:row r="866">
      <x:c r="A866" s="136" t="str">
        <x:v>01093964200</x:v>
      </x:c>
      <x:c r="B866" s="132" t="str">
        <x:v>Marion County</x:v>
      </x:c>
      <x:c r="C866" s="132" t="n">
        <x:v>0</x:v>
      </x:c>
      <x:c r="D866" s="134" t="n">
        <x:v>1370</x:v>
      </x:c>
      <x:c r="E866" s="133" t="n">
        <x:v>7.8</x:v>
      </x:c>
      <x:c r="F866" s="134" t="n">
        <x:v>896</x:v>
      </x:c>
      <x:c r="G866" s="134" t="n">
        <x:v>0</x:v>
      </x:c>
      <x:c r="H866" s="134" t="n">
        <x:v>31</x:v>
      </x:c>
      <x:c r="I866" s="134" t="n">
        <x:v>21</x:v>
      </x:c>
      <x:c r="J866" s="133" t="n">
        <x:v>2.2627737226277373</x:v>
      </x:c>
      <x:c r="K866" s="133" t="n">
        <x:v>2.34375</x:v>
      </x:c>
      <x:c r="L866" s="133" t="n">
        <x:v>2.1739130434782608</x:v>
      </x:c>
      <x:c r="M866" s="133" t="n">
        <x:v>2.31023102310231</x:v>
      </x:c>
      <x:c r="N866" s="133" t="n">
        <x:v>0</x:v>
      </x:c>
      <x:c r="O866" s="133" t="n">
        <x:v>1.9607843137254901</x:v>
      </x:c>
      <x:c r="P866" s="132"/>
    </x:row>
    <x:row r="867">
      <x:c r="A867" s="136" t="str">
        <x:v>01123961900</x:v>
      </x:c>
      <x:c r="B867" s="132" t="str">
        <x:v>Tallapoosa County</x:v>
      </x:c>
      <x:c r="C867" s="132" t="n">
        <x:v>0</x:v>
      </x:c>
      <x:c r="D867" s="134" t="n">
        <x:v>2342</x:v>
      </x:c>
      <x:c r="E867" s="133" t="n">
        <x:v>12.7</x:v>
      </x:c>
      <x:c r="F867" s="134" t="n">
        <x:v>1804</x:v>
      </x:c>
      <x:c r="G867" s="134" t="n">
        <x:v>0</x:v>
      </x:c>
      <x:c r="H867" s="134" t="n">
        <x:v>27</x:v>
      </x:c>
      <x:c r="I867" s="134" t="n">
        <x:v>21</x:v>
      </x:c>
      <x:c r="J867" s="133" t="n">
        <x:v>1.1528608027327072</x:v>
      </x:c>
      <x:c r="K867" s="133" t="n">
        <x:v>1.164079822616408</x:v>
      </x:c>
      <x:c r="L867" s="133" t="n">
        <x:v>1.1857707509881423</x:v>
      </x:c>
      <x:c r="M867" s="133" t="n">
        <x:v>1.0869565217391304</x:v>
      </x:c>
      <x:c r="N867" s="133" t="n">
        <x:v>0</x:v>
      </x:c>
      <x:c r="O867" s="133" t="n">
        <x:v>0.9900990099009901</x:v>
      </x:c>
      <x:c r="P867" s="132"/>
    </x:row>
    <x:row r="868">
      <x:c r="A868" s="136" t="str">
        <x:v>01033020901</x:v>
      </x:c>
      <x:c r="B868" s="132" t="str">
        <x:v>Colbert County</x:v>
      </x:c>
      <x:c r="C868" s="132" t="n">
        <x:v>0</x:v>
      </x:c>
      <x:c r="D868" s="134" t="n">
        <x:v>4287</x:v>
      </x:c>
      <x:c r="E868" s="133" t="n">
        <x:v>20.2</x:v>
      </x:c>
      <x:c r="F868" s="134" t="n">
        <x:v>3084</x:v>
      </x:c>
      <x:c r="G868" s="134" t="n">
        <x:v>0</x:v>
      </x:c>
      <x:c r="H868" s="134" t="n">
        <x:v>30</x:v>
      </x:c>
      <x:c r="I868" s="134" t="n">
        <x:v>22</x:v>
      </x:c>
      <x:c r="J868" s="133" t="n">
        <x:v>0.6997900629811057</x:v>
      </x:c>
      <x:c r="K868" s="133" t="n">
        <x:v>0.7133592736705577</x:v>
      </x:c>
      <x:c r="L868" s="133" t="n">
        <x:v>0.7376185458377239</x:v>
      </x:c>
      <x:c r="M868" s="133" t="n">
        <x:v>0.7444168734491315</x:v>
      </x:c>
      <x:c r="N868" s="133" t="n">
        <x:v>0.8264462809917356</x:v>
      </x:c>
      <x:c r="O868" s="133" t="n">
        <x:v>0.8403361344537815</x:v>
      </x:c>
      <x:c r="P868" s="132"/>
    </x:row>
    <x:row r="869">
      <x:c r="A869" s="136" t="str">
        <x:v>01035960400</x:v>
      </x:c>
      <x:c r="B869" s="132" t="str">
        <x:v>Conecuh County</x:v>
      </x:c>
      <x:c r="C869" s="132" t="n">
        <x:v>0</x:v>
      </x:c>
      <x:c r="D869" s="134" t="n">
        <x:v>2936</x:v>
      </x:c>
      <x:c r="E869" s="133" t="n">
        <x:v>32.3</x:v>
      </x:c>
      <x:c r="F869" s="134" t="n">
        <x:v>1179</x:v>
      </x:c>
      <x:c r="G869" s="134" t="n">
        <x:v>0</x:v>
      </x:c>
      <x:c r="H869" s="134" t="n">
        <x:v>55</x:v>
      </x:c>
      <x:c r="I869" s="134" t="n">
        <x:v>22</x:v>
      </x:c>
      <x:c r="J869" s="133" t="n">
        <x:v>1.8732970027247957</x:v>
      </x:c>
      <x:c r="K869" s="133" t="n">
        <x:v>1.8659881255301103</x:v>
      </x:c>
      <x:c r="L869" s="133" t="n">
        <x:v>1.937984496124031</x:v>
      </x:c>
      <x:c r="M869" s="133" t="n">
        <x:v>1.8624641833810889</x:v>
      </x:c>
      <x:c r="N869" s="133" t="n">
        <x:v>0</x:v>
      </x:c>
      <x:c r="O869" s="133" t="n">
        <x:v>1.951219512195122</x:v>
      </x:c>
      <x:c r="P869" s="132"/>
    </x:row>
    <x:row r="870">
      <x:c r="A870" s="136" t="str">
        <x:v>01041963900</x:v>
      </x:c>
      <x:c r="B870" s="132" t="str">
        <x:v>Crenshaw County</x:v>
      </x:c>
      <x:c r="C870" s="132" t="n">
        <x:v>0</x:v>
      </x:c>
      <x:c r="D870" s="134" t="n">
        <x:v>1371</x:v>
      </x:c>
      <x:c r="E870" s="133" t="n">
        <x:v>22.1</x:v>
      </x:c>
      <x:c r="F870" s="134" t="n">
        <x:v>579</x:v>
      </x:c>
      <x:c r="G870" s="134" t="n">
        <x:v>0</x:v>
      </x:c>
      <x:c r="H870" s="134" t="n">
        <x:v>53</x:v>
      </x:c>
      <x:c r="I870" s="134" t="n">
        <x:v>22</x:v>
      </x:c>
      <x:c r="J870" s="133" t="n">
        <x:v>3.8657913931436907</x:v>
      </x:c>
      <x:c r="K870" s="133" t="n">
        <x:v>3.7996545768566494</x:v>
      </x:c>
      <x:c r="L870" s="133" t="n">
        <x:v>3.7735849056603774</x:v>
      </x:c>
      <x:c r="M870" s="133" t="n">
        <x:v>3.8869257950530036</x:v>
      </x:c>
      <x:c r="N870" s="133" t="n">
        <x:v>3.6363636363636362</x:v>
      </x:c>
      <x:c r="O870" s="133" t="n">
        <x:v>4</x:v>
      </x:c>
      <x:c r="P870" s="132"/>
    </x:row>
    <x:row r="871">
      <x:c r="A871" s="136" t="str">
        <x:v>01095030205</x:v>
      </x:c>
      <x:c r="B871" s="132" t="str">
        <x:v>Marshall County</x:v>
      </x:c>
      <x:c r="C871" s="132" t="n">
        <x:v>0</x:v>
      </x:c>
      <x:c r="D871" s="134" t="n">
        <x:v>1250</x:v>
      </x:c>
      <x:c r="E871" s="133" t="n">
        <x:v>7.9</x:v>
      </x:c>
      <x:c r="F871" s="134" t="n">
        <x:v>954</x:v>
      </x:c>
      <x:c r="G871" s="134" t="n">
        <x:v>0</x:v>
      </x:c>
      <x:c r="H871" s="134" t="n">
        <x:v>29</x:v>
      </x:c>
      <x:c r="I871" s="134" t="n">
        <x:v>22</x:v>
      </x:c>
      <x:c r="J871" s="133" t="n">
        <x:v>2.32</x:v>
      </x:c>
      <x:c r="K871" s="133" t="n">
        <x:v>2.3060796645702304</x:v>
      </x:c>
      <x:c r="L871" s="133" t="n">
        <x:v>2.3715415019762847</x:v>
      </x:c>
      <x:c r="M871" s="133" t="n">
        <x:v>2.1739130434782608</x:v>
      </x:c>
      <x:c r="N871" s="133" t="n">
        <x:v>3.8461538461538463</x:v>
      </x:c>
      <x:c r="O871" s="133" t="n">
        <x:v>0</x:v>
      </x:c>
      <x:c r="P871" s="132"/>
    </x:row>
    <x:row r="872">
      <x:c r="A872" s="136" t="str">
        <x:v>01115040105</x:v>
      </x:c>
      <x:c r="B872" s="132" t="str">
        <x:v>St. Clair County</x:v>
      </x:c>
      <x:c r="C872" s="132" t="n">
        <x:v>0</x:v>
      </x:c>
      <x:c r="D872" s="134" t="n">
        <x:v>4465</x:v>
      </x:c>
      <x:c r="E872" s="133" t="n">
        <x:v>13.9</x:v>
      </x:c>
      <x:c r="F872" s="134" t="n">
        <x:v>3421</x:v>
      </x:c>
      <x:c r="G872" s="134" t="n">
        <x:v>0</x:v>
      </x:c>
      <x:c r="H872" s="134" t="n">
        <x:v>28</x:v>
      </x:c>
      <x:c r="I872" s="134" t="n">
        <x:v>22</x:v>
      </x:c>
      <x:c r="J872" s="133" t="n">
        <x:v>0.6270996640537514</x:v>
      </x:c>
      <x:c r="K872" s="133" t="n">
        <x:v>0.6430868167202572</x:v>
      </x:c>
      <x:c r="L872" s="133" t="n">
        <x:v>0.6362672322375398</x:v>
      </x:c>
      <x:c r="M872" s="133" t="n">
        <x:v>0.6869479882237488</x:v>
      </x:c>
      <x:c r="N872" s="133" t="n">
        <x:v>0</x:v>
      </x:c>
      <x:c r="O872" s="133" t="n">
        <x:v>0.78125</x:v>
      </x:c>
      <x:c r="P872" s="132"/>
    </x:row>
    <x:row r="873">
      <x:c r="A873" s="136" t="str">
        <x:v>01117030103</x:v>
      </x:c>
      <x:c r="B873" s="132" t="str">
        <x:v>Shelby County</x:v>
      </x:c>
      <x:c r="C873" s="132" t="n">
        <x:v>0</x:v>
      </x:c>
      <x:c r="D873" s="134" t="n">
        <x:v>1066</x:v>
      </x:c>
      <x:c r="E873" s="133" t="n">
        <x:v>4.1</x:v>
      </x:c>
      <x:c r="F873" s="134" t="n">
        <x:v>906</x:v>
      </x:c>
      <x:c r="G873" s="134" t="n">
        <x:v>0</x:v>
      </x:c>
      <x:c r="H873" s="134" t="n">
        <x:v>26</x:v>
      </x:c>
      <x:c r="I873" s="134" t="n">
        <x:v>22</x:v>
      </x:c>
      <x:c r="J873" s="133" t="n">
        <x:v>2.4390243902439024</x:v>
      </x:c>
      <x:c r="K873" s="133" t="n">
        <x:v>2.4282560706401766</x:v>
      </x:c>
      <x:c r="L873" s="133" t="n">
        <x:v>2.5510204081632653</x:v>
      </x:c>
      <x:c r="M873" s="133" t="n">
        <x:v>2.314814814814815</x:v>
      </x:c>
      <x:c r="N873" s="133" t="n">
        <x:v>2.9411764705882355</x:v>
      </x:c>
      <x:c r="O873" s="133" t="n">
        <x:v>0</x:v>
      </x:c>
      <x:c r="P873" s="132"/>
    </x:row>
    <x:row r="874">
      <x:c r="A874" s="136" t="str">
        <x:v>01125010302</x:v>
      </x:c>
      <x:c r="B874" s="132" t="str">
        <x:v>Tuscaloosa County</x:v>
      </x:c>
      <x:c r="C874" s="132" t="n">
        <x:v>0</x:v>
      </x:c>
      <x:c r="D874" s="134" t="n">
        <x:v>4386</x:v>
      </x:c>
      <x:c r="E874" s="133" t="n">
        <x:v>19.3</x:v>
      </x:c>
      <x:c r="F874" s="134" t="n">
        <x:v>2154</x:v>
      </x:c>
      <x:c r="G874" s="134" t="n">
        <x:v>0</x:v>
      </x:c>
      <x:c r="H874" s="134" t="n">
        <x:v>45</x:v>
      </x:c>
      <x:c r="I874" s="134" t="n">
        <x:v>22</x:v>
      </x:c>
      <x:c r="J874" s="133" t="n">
        <x:v>1.0259917920656634</x:v>
      </x:c>
      <x:c r="K874" s="133" t="n">
        <x:v>1.021355617455896</x:v>
      </x:c>
      <x:c r="L874" s="133" t="n">
        <x:v>1.0196078431372548</x:v>
      </x:c>
      <x:c r="M874" s="133" t="n">
        <x:v>1.0084033613445378</x:v>
      </x:c>
      <x:c r="N874" s="133" t="n">
        <x:v>0</x:v>
      </x:c>
      <x:c r="O874" s="133" t="n">
        <x:v>0.704225352112676</x:v>
      </x:c>
      <x:c r="P874" s="132"/>
    </x:row>
    <x:row r="875">
      <x:c r="A875" s="136" t="str">
        <x:v>01125011901</x:v>
      </x:c>
      <x:c r="B875" s="132" t="str">
        <x:v>Tuscaloosa County</x:v>
      </x:c>
      <x:c r="C875" s="132" t="n">
        <x:v>1</x:v>
      </x:c>
      <x:c r="D875" s="134" t="n">
        <x:v>2833</x:v>
      </x:c>
      <x:c r="E875" s="133" t="n">
        <x:v>32.2</x:v>
      </x:c>
      <x:c r="F875" s="134" t="n">
        <x:v>1385</x:v>
      </x:c>
      <x:c r="G875" s="134" t="n">
        <x:v>0</x:v>
      </x:c>
      <x:c r="H875" s="134" t="n">
        <x:v>44</x:v>
      </x:c>
      <x:c r="I875" s="134" t="n">
        <x:v>22</x:v>
      </x:c>
      <x:c r="J875" s="133" t="n">
        <x:v>1.5531238969290504</x:v>
      </x:c>
      <x:c r="K875" s="133" t="n">
        <x:v>1.5884476534296028</x:v>
      </x:c>
      <x:c r="L875" s="133" t="n">
        <x:v>1.4675052410901468</x:v>
      </x:c>
      <x:c r="M875" s="133" t="n">
        <x:v>1.4814814814814814</x:v>
      </x:c>
      <x:c r="N875" s="133" t="n">
        <x:v>2.0833333333333335</x:v>
      </x:c>
      <x:c r="O875" s="133" t="n">
        <x:v>1.5267175572519085</x:v>
      </x:c>
      <x:c r="P875" s="132"/>
    </x:row>
    <x:row r="876">
      <x:c r="A876" s="136" t="str">
        <x:v>01005950700</x:v>
      </x:c>
      <x:c r="B876" s="132" t="str">
        <x:v>Barbour County</x:v>
      </x:c>
      <x:c r="C876" s="132" t="n">
        <x:v>0</x:v>
      </x:c>
      <x:c r="D876" s="134" t="n">
        <x:v>1590</x:v>
      </x:c>
      <x:c r="E876" s="133" t="n">
        <x:v>23.8</x:v>
      </x:c>
      <x:c r="F876" s="134" t="n">
        <x:v>790</x:v>
      </x:c>
      <x:c r="G876" s="134" t="n">
        <x:v>0</x:v>
      </x:c>
      <x:c r="H876" s="134" t="n">
        <x:v>46</x:v>
      </x:c>
      <x:c r="I876" s="134" t="n">
        <x:v>23</x:v>
      </x:c>
      <x:c r="J876" s="133" t="n">
        <x:v>2.893081761006289</x:v>
      </x:c>
      <x:c r="K876" s="133" t="n">
        <x:v>2.911392405063291</x:v>
      </x:c>
      <x:c r="L876" s="133" t="n">
        <x:v>2.956989247311828</x:v>
      </x:c>
      <x:c r="M876" s="133" t="n">
        <x:v>2.93398533007335</x:v>
      </x:c>
      <x:c r="N876" s="133" t="n">
        <x:v>2.6666666666666665</x:v>
      </x:c>
      <x:c r="O876" s="133" t="n">
        <x:v>2.717391304347826</x:v>
      </x:c>
      <x:c r="P876" s="132"/>
    </x:row>
    <x:row r="877">
      <x:c r="A877" s="136" t="str">
        <x:v>01073005200</x:v>
      </x:c>
      <x:c r="B877" s="132" t="str">
        <x:v>Jefferson County</x:v>
      </x:c>
      <x:c r="C877" s="132" t="n">
        <x:v>1</x:v>
      </x:c>
      <x:c r="D877" s="134" t="n">
        <x:v>3365</x:v>
      </x:c>
      <x:c r="E877" s="133" t="n">
        <x:v>28.6</x:v>
      </x:c>
      <x:c r="F877" s="134" t="n">
        <x:v>1450</x:v>
      </x:c>
      <x:c r="G877" s="134" t="n">
        <x:v>0</x:v>
      </x:c>
      <x:c r="H877" s="134" t="n">
        <x:v>54</x:v>
      </x:c>
      <x:c r="I877" s="134" t="n">
        <x:v>23</x:v>
      </x:c>
      <x:c r="J877" s="133" t="n">
        <x:v>1.6047548291233285</x:v>
      </x:c>
      <x:c r="K877" s="133" t="n">
        <x:v>1.5862068965517242</x:v>
      </x:c>
      <x:c r="L877" s="133" t="n">
        <x:v>1.639344262295082</x:v>
      </x:c>
      <x:c r="M877" s="133" t="n">
        <x:v>1.597051597051597</x:v>
      </x:c>
      <x:c r="N877" s="133" t="n">
        <x:v>1.5625</x:v>
      </x:c>
      <x:c r="O877" s="133" t="n">
        <x:v>1.6326530612244898</x:v>
      </x:c>
      <x:c r="P877" s="132"/>
    </x:row>
    <x:row r="878">
      <x:c r="A878" s="136" t="str">
        <x:v>01073010603</x:v>
      </x:c>
      <x:c r="B878" s="132" t="str">
        <x:v>Jefferson County</x:v>
      </x:c>
      <x:c r="C878" s="132" t="n">
        <x:v>1</x:v>
      </x:c>
      <x:c r="D878" s="134" t="n">
        <x:v>2277</x:v>
      </x:c>
      <x:c r="E878" s="133" t="n">
        <x:v>8</x:v>
      </x:c>
      <x:c r="F878" s="134" t="n">
        <x:v>1461</x:v>
      </x:c>
      <x:c r="G878" s="134" t="n">
        <x:v>0</x:v>
      </x:c>
      <x:c r="H878" s="134" t="n">
        <x:v>36</x:v>
      </x:c>
      <x:c r="I878" s="134" t="n">
        <x:v>23</x:v>
      </x:c>
      <x:c r="J878" s="133" t="n">
        <x:v>1.5810276679841897</x:v>
      </x:c>
      <x:c r="K878" s="133" t="n">
        <x:v>1.5742642026009583</x:v>
      </x:c>
      <x:c r="L878" s="133" t="n">
        <x:v>1.6431924882629108</x:v>
      </x:c>
      <x:c r="M878" s="133" t="n">
        <x:v>1.633393829401089</x:v>
      </x:c>
      <x:c r="N878" s="133" t="n">
        <x:v>3.125</x:v>
      </x:c>
      <x:c r="O878" s="133" t="n">
        <x:v>1.3157894736842106</x:v>
      </x:c>
      <x:c r="P878" s="132"/>
    </x:row>
    <x:row r="879">
      <x:c r="A879" s="136" t="str">
        <x:v>01105687100</x:v>
      </x:c>
      <x:c r="B879" s="132" t="str">
        <x:v>Perry County</x:v>
      </x:c>
      <x:c r="C879" s="132" t="n">
        <x:v>0</x:v>
      </x:c>
      <x:c r="D879" s="134" t="n">
        <x:v>3089</x:v>
      </x:c>
      <x:c r="E879" s="133" t="n">
        <x:v>39.3</x:v>
      </x:c>
      <x:c r="F879" s="134" t="n">
        <x:v>665</x:v>
      </x:c>
      <x:c r="G879" s="134" t="n">
        <x:v>0</x:v>
      </x:c>
      <x:c r="H879" s="134" t="n">
        <x:v>106</x:v>
      </x:c>
      <x:c r="I879" s="134" t="n">
        <x:v>23</x:v>
      </x:c>
      <x:c r="J879" s="133" t="n">
        <x:v>3.4315312398834577</x:v>
      </x:c>
      <x:c r="K879" s="133" t="n">
        <x:v>3.4586466165413534</x:v>
      </x:c>
      <x:c r="L879" s="133" t="n">
        <x:v>3.4482758620689653</x:v>
      </x:c>
      <x:c r="M879" s="133" t="n">
        <x:v>3.409090909090909</x:v>
      </x:c>
      <x:c r="N879" s="133" t="n">
        <x:v>3.3783783783783785</x:v>
      </x:c>
      <x:c r="O879" s="133" t="n">
        <x:v>3.4129692832764507</x:v>
      </x:c>
      <x:c r="P879" s="132"/>
    </x:row>
    <x:row r="880">
      <x:c r="A880" s="136" t="str">
        <x:v>01007010001</x:v>
      </x:c>
      <x:c r="B880" s="132" t="str">
        <x:v>Bibb County</x:v>
      </x:c>
      <x:c r="C880" s="132" t="n">
        <x:v>0</x:v>
      </x:c>
      <x:c r="D880" s="134" t="n">
        <x:v>2634</x:v>
      </x:c>
      <x:c r="E880" s="133" t="n">
        <x:v>17.1</x:v>
      </x:c>
      <x:c r="F880" s="134" t="n">
        <x:v>1628</x:v>
      </x:c>
      <x:c r="G880" s="134" t="n">
        <x:v>0</x:v>
      </x:c>
      <x:c r="H880" s="134" t="n">
        <x:v>40</x:v>
      </x:c>
      <x:c r="I880" s="134" t="n">
        <x:v>24</x:v>
      </x:c>
      <x:c r="J880" s="133" t="n">
        <x:v>1.5186028853454823</x:v>
      </x:c>
      <x:c r="K880" s="133" t="n">
        <x:v>1.4742014742014742</x:v>
      </x:c>
      <x:c r="L880" s="133" t="n">
        <x:v>1.480263157894737</x:v>
      </x:c>
      <x:c r="M880" s="133" t="n">
        <x:v>1.5184381778741864</x:v>
      </x:c>
      <x:c r="N880" s="133" t="n">
        <x:v>2.7777777777777777</x:v>
      </x:c>
      <x:c r="O880" s="133" t="n">
        <x:v>1.9801980198019802</x:v>
      </x:c>
      <x:c r="P880" s="132"/>
    </x:row>
    <x:row r="881">
      <x:c r="A881" s="136" t="str">
        <x:v>01015000300</x:v>
      </x:c>
      <x:c r="B881" s="132" t="str">
        <x:v>Calhoun County</x:v>
      </x:c>
      <x:c r="C881" s="132" t="n">
        <x:v>1</x:v>
      </x:c>
      <x:c r="D881" s="134" t="n">
        <x:v>2314</x:v>
      </x:c>
      <x:c r="E881" s="133" t="n">
        <x:v>20.6</x:v>
      </x:c>
      <x:c r="F881" s="134" t="n">
        <x:v>833</x:v>
      </x:c>
      <x:c r="G881" s="134" t="n">
        <x:v>0</x:v>
      </x:c>
      <x:c r="H881" s="134" t="n">
        <x:v>68</x:v>
      </x:c>
      <x:c r="I881" s="134" t="n">
        <x:v>24</x:v>
      </x:c>
      <x:c r="J881" s="133" t="n">
        <x:v>2.9386343993085564</x:v>
      </x:c>
      <x:c r="K881" s="133" t="n">
        <x:v>2.881152460984394</x:v>
      </x:c>
      <x:c r="L881" s="133" t="n">
        <x:v>3.036876355748373</x:v>
      </x:c>
      <x:c r="M881" s="133" t="n">
        <x:v>2.830188679245283</x:v>
      </x:c>
      <x:c r="N881" s="133" t="n">
        <x:v>2.7649769585253456</x:v>
      </x:c>
      <x:c r="O881" s="133" t="n">
        <x:v>3.053435114503817</x:v>
      </x:c>
      <x:c r="P881" s="132"/>
    </x:row>
    <x:row r="882">
      <x:c r="A882" s="136" t="str">
        <x:v>01021060600</x:v>
      </x:c>
      <x:c r="B882" s="132" t="str">
        <x:v>Chilton County</x:v>
      </x:c>
      <x:c r="C882" s="132" t="n">
        <x:v>0</x:v>
      </x:c>
      <x:c r="D882" s="134" t="n">
        <x:v>3294</x:v>
      </x:c>
      <x:c r="E882" s="133" t="n">
        <x:v>12.5</x:v>
      </x:c>
      <x:c r="F882" s="134" t="n">
        <x:v>2400</x:v>
      </x:c>
      <x:c r="G882" s="134" t="n">
        <x:v>0</x:v>
      </x:c>
      <x:c r="H882" s="134" t="n">
        <x:v>33</x:v>
      </x:c>
      <x:c r="I882" s="134" t="n">
        <x:v>24</x:v>
      </x:c>
      <x:c r="J882" s="133" t="n">
        <x:v>1.0018214936247722</x:v>
      </x:c>
      <x:c r="K882" s="133" t="n">
        <x:v>1</x:v>
      </x:c>
      <x:c r="L882" s="133" t="n">
        <x:v>0.9900990099009901</x:v>
      </x:c>
      <x:c r="M882" s="133" t="n">
        <x:v>1.0830324909747293</x:v>
      </x:c>
      <x:c r="N882" s="133" t="n">
        <x:v>0</x:v>
      </x:c>
      <x:c r="O882" s="133" t="n">
        <x:v>1.0869565217391304</x:v>
      </x:c>
      <x:c r="P882" s="132"/>
    </x:row>
    <x:row r="883">
      <x:c r="A883" s="136" t="str">
        <x:v>01055010800</x:v>
      </x:c>
      <x:c r="B883" s="132" t="str">
        <x:v>Etowah County</x:v>
      </x:c>
      <x:c r="C883" s="132" t="n">
        <x:v>0</x:v>
      </x:c>
      <x:c r="D883" s="134" t="n">
        <x:v>2791</x:v>
      </x:c>
      <x:c r="E883" s="133" t="n">
        <x:v>12</x:v>
      </x:c>
      <x:c r="F883" s="134" t="n">
        <x:v>1833</x:v>
      </x:c>
      <x:c r="G883" s="134" t="n">
        <x:v>0</x:v>
      </x:c>
      <x:c r="H883" s="134" t="n">
        <x:v>37</x:v>
      </x:c>
      <x:c r="I883" s="134" t="n">
        <x:v>24</x:v>
      </x:c>
      <x:c r="J883" s="133" t="n">
        <x:v>1.3256897169473307</x:v>
      </x:c>
      <x:c r="K883" s="133" t="n">
        <x:v>1.309328968903437</x:v>
      </x:c>
      <x:c r="L883" s="133" t="n">
        <x:v>1.2704174228675136</x:v>
      </x:c>
      <x:c r="M883" s="133" t="n">
        <x:v>1.3582342954159592</x:v>
      </x:c>
      <x:c r="N883" s="133" t="n">
        <x:v>0</x:v>
      </x:c>
      <x:c r="O883" s="133" t="n">
        <x:v>1.680672268907563</x:v>
      </x:c>
      <x:c r="P883" s="132"/>
    </x:row>
    <x:row r="884">
      <x:c r="A884" s="136" t="str">
        <x:v>01073002000</x:v>
      </x:c>
      <x:c r="B884" s="132" t="str">
        <x:v>Jefferson County</x:v>
      </x:c>
      <x:c r="C884" s="132" t="n">
        <x:v>1</x:v>
      </x:c>
      <x:c r="D884" s="134" t="n">
        <x:v>3478</x:v>
      </x:c>
      <x:c r="E884" s="133" t="n">
        <x:v>40.6</x:v>
      </x:c>
      <x:c r="F884" s="134" t="n">
        <x:v>1182</x:v>
      </x:c>
      <x:c r="G884" s="134" t="n">
        <x:v>0</x:v>
      </x:c>
      <x:c r="H884" s="134" t="n">
        <x:v>70</x:v>
      </x:c>
      <x:c r="I884" s="134" t="n">
        <x:v>24</x:v>
      </x:c>
      <x:c r="J884" s="133" t="n">
        <x:v>2.0126509488211615</x:v>
      </x:c>
      <x:c r="K884" s="133" t="n">
        <x:v>2.030456852791878</x:v>
      </x:c>
      <x:c r="L884" s="133" t="n">
        <x:v>2.08955223880597</x:v>
      </x:c>
      <x:c r="M884" s="133" t="n">
        <x:v>1.937984496124031</x:v>
      </x:c>
      <x:c r="N884" s="133" t="n">
        <x:v>2.1660649819494586</x:v>
      </x:c>
      <x:c r="O884" s="133" t="n">
        <x:v>2.0366598778004072</x:v>
      </x:c>
      <x:c r="P884" s="132"/>
    </x:row>
    <x:row r="885">
      <x:c r="A885" s="136" t="str">
        <x:v>01073003600</x:v>
      </x:c>
      <x:c r="B885" s="132" t="str">
        <x:v>Jefferson County</x:v>
      </x:c>
      <x:c r="C885" s="132" t="n">
        <x:v>1</x:v>
      </x:c>
      <x:c r="D885" s="134" t="n">
        <x:v>4359</x:v>
      </x:c>
      <x:c r="E885" s="133" t="n">
        <x:v>23.1</x:v>
      </x:c>
      <x:c r="F885" s="134" t="n">
        <x:v>2188</x:v>
      </x:c>
      <x:c r="G885" s="134" t="n">
        <x:v>0</x:v>
      </x:c>
      <x:c r="H885" s="134" t="n">
        <x:v>48</x:v>
      </x:c>
      <x:c r="I885" s="134" t="n">
        <x:v>24</x:v>
      </x:c>
      <x:c r="J885" s="133" t="n">
        <x:v>1.1011699931176875</x:v>
      </x:c>
      <x:c r="K885" s="133" t="n">
        <x:v>1.0968921389396709</x:v>
      </x:c>
      <x:c r="L885" s="133" t="n">
        <x:v>1.070154577883472</x:v>
      </x:c>
      <x:c r="M885" s="133" t="n">
        <x:v>1.0834236186348862</x:v>
      </x:c>
      <x:c r="N885" s="133" t="n">
        <x:v>0.9345794392523364</x:v>
      </x:c>
      <x:c r="O885" s="133" t="n">
        <x:v>1.0498687664041995</x:v>
      </x:c>
      <x:c r="P885" s="132"/>
    </x:row>
    <x:row r="886">
      <x:c r="A886" s="136" t="str">
        <x:v>01081041400</x:v>
      </x:c>
      <x:c r="B886" s="132" t="str">
        <x:v>Lee County</x:v>
      </x:c>
      <x:c r="C886" s="132" t="n">
        <x:v>1</x:v>
      </x:c>
      <x:c r="D886" s="134" t="n">
        <x:v>3388</x:v>
      </x:c>
      <x:c r="E886" s="133" t="n">
        <x:v>40.8</x:v>
      </x:c>
      <x:c r="F886" s="134" t="n">
        <x:v>1322</x:v>
      </x:c>
      <x:c r="G886" s="134" t="n">
        <x:v>0</x:v>
      </x:c>
      <x:c r="H886" s="134" t="n">
        <x:v>63</x:v>
      </x:c>
      <x:c r="I886" s="134" t="n">
        <x:v>24</x:v>
      </x:c>
      <x:c r="J886" s="133" t="n">
        <x:v>1.859504132231405</x:v>
      </x:c>
      <x:c r="K886" s="133" t="n">
        <x:v>1.8154311649016641</x:v>
      </x:c>
      <x:c r="L886" s="133" t="n">
        <x:v>1.845444059976932</x:v>
      </x:c>
      <x:c r="M886" s="133" t="n">
        <x:v>1.8487394957983194</x:v>
      </x:c>
      <x:c r="N886" s="133" t="n">
        <x:v>1.7937219730941705</x:v>
      </x:c>
      <x:c r="O886" s="133" t="n">
        <x:v>1.9002375296912113</x:v>
      </x:c>
      <x:c r="P886" s="132"/>
    </x:row>
    <x:row r="887">
      <x:c r="A887" s="136" t="str">
        <x:v>01097006303</x:v>
      </x:c>
      <x:c r="B887" s="132" t="str">
        <x:v>Mobile County</x:v>
      </x:c>
      <x:c r="C887" s="132" t="n">
        <x:v>0</x:v>
      </x:c>
      <x:c r="D887" s="134" t="n">
        <x:v>3574</x:v>
      </x:c>
      <x:c r="E887" s="133" t="n">
        <x:v>6.5</x:v>
      </x:c>
      <x:c r="F887" s="134" t="n">
        <x:v>2675</x:v>
      </x:c>
      <x:c r="G887" s="134" t="n">
        <x:v>0</x:v>
      </x:c>
      <x:c r="H887" s="134" t="n">
        <x:v>32</x:v>
      </x:c>
      <x:c r="I887" s="134" t="n">
        <x:v>24</x:v>
      </x:c>
      <x:c r="J887" s="133" t="n">
        <x:v>0.8953553441522104</x:v>
      </x:c>
      <x:c r="K887" s="133" t="n">
        <x:v>0.897196261682243</x:v>
      </x:c>
      <x:c r="L887" s="133" t="n">
        <x:v>0.9070294784580499</x:v>
      </x:c>
      <x:c r="M887" s="133" t="n">
        <x:v>0.9689922480620154</x:v>
      </x:c>
      <x:c r="N887" s="133" t="n">
        <x:v>0</x:v>
      </x:c>
      <x:c r="O887" s="133" t="n">
        <x:v>0</x:v>
      </x:c>
      <x:c r="P887" s="132"/>
    </x:row>
    <x:row r="888">
      <x:c r="A888" s="136" t="str">
        <x:v>01019956101</x:v>
      </x:c>
      <x:c r="B888" s="132" t="str">
        <x:v>Cherokee County</x:v>
      </x:c>
      <x:c r="C888" s="132" t="n">
        <x:v>0</x:v>
      </x:c>
      <x:c r="D888" s="134" t="n">
        <x:v>1931</x:v>
      </x:c>
      <x:c r="E888" s="133" t="n">
        <x:v>15.2</x:v>
      </x:c>
      <x:c r="F888" s="134" t="n">
        <x:v>1255</x:v>
      </x:c>
      <x:c r="G888" s="134" t="n">
        <x:v>0</x:v>
      </x:c>
      <x:c r="H888" s="134" t="n">
        <x:v>38</x:v>
      </x:c>
      <x:c r="I888" s="134" t="n">
        <x:v>25</x:v>
      </x:c>
      <x:c r="J888" s="133" t="n">
        <x:v>1.967892283790782</x:v>
      </x:c>
      <x:c r="K888" s="133" t="n">
        <x:v>1.9920318725099602</x:v>
      </x:c>
      <x:c r="L888" s="133" t="n">
        <x:v>2.0671834625322996</x:v>
      </x:c>
      <x:c r="M888" s="133" t="n">
        <x:v>2.1052631578947367</x:v>
      </x:c>
      <x:c r="N888" s="133"/>
      <x:c r="O888" s="133" t="n">
        <x:v>1.6666666666666667</x:v>
      </x:c>
      <x:c r="P888" s="132"/>
    </x:row>
    <x:row r="889">
      <x:c r="A889" s="136" t="str">
        <x:v>01029959500</x:v>
      </x:c>
      <x:c r="B889" s="132" t="str">
        <x:v>Cleburne County</x:v>
      </x:c>
      <x:c r="C889" s="132" t="n">
        <x:v>0</x:v>
      </x:c>
      <x:c r="D889" s="134" t="n">
        <x:v>2547</x:v>
      </x:c>
      <x:c r="E889" s="133" t="n">
        <x:v>14</x:v>
      </x:c>
      <x:c r="F889" s="134" t="n">
        <x:v>1509</x:v>
      </x:c>
      <x:c r="G889" s="134" t="n">
        <x:v>0</x:v>
      </x:c>
      <x:c r="H889" s="134" t="n">
        <x:v>43</x:v>
      </x:c>
      <x:c r="I889" s="134" t="n">
        <x:v>25</x:v>
      </x:c>
      <x:c r="J889" s="133" t="n">
        <x:v>1.6882606988614055</x:v>
      </x:c>
      <x:c r="K889" s="133" t="n">
        <x:v>1.656726308813784</x:v>
      </x:c>
      <x:c r="L889" s="133" t="n">
        <x:v>1.5957446808510638</x:v>
      </x:c>
      <x:c r="M889" s="133" t="n">
        <x:v>1.6736401673640167</x:v>
      </x:c>
      <x:c r="N889" s="133" t="n">
        <x:v>2.272727272727273</x:v>
      </x:c>
      <x:c r="O889" s="133" t="n">
        <x:v>1.3513513513513513</x:v>
      </x:c>
      <x:c r="P889" s="132"/>
    </x:row>
    <x:row r="890">
      <x:c r="A890" s="136" t="str">
        <x:v>01071951000</x:v>
      </x:c>
      <x:c r="B890" s="132" t="str">
        <x:v>Jackson County</x:v>
      </x:c>
      <x:c r="C890" s="132" t="n">
        <x:v>0</x:v>
      </x:c>
      <x:c r="D890" s="134" t="n">
        <x:v>4349</x:v>
      </x:c>
      <x:c r="E890" s="133" t="n">
        <x:v>15.6</x:v>
      </x:c>
      <x:c r="F890" s="134" t="n">
        <x:v>2521</x:v>
      </x:c>
      <x:c r="G890" s="134" t="n">
        <x:v>0</x:v>
      </x:c>
      <x:c r="H890" s="134" t="n">
        <x:v>43</x:v>
      </x:c>
      <x:c r="I890" s="134" t="n">
        <x:v>25</x:v>
      </x:c>
      <x:c r="J890" s="133" t="n">
        <x:v>0.9887330420786388</x:v>
      </x:c>
      <x:c r="K890" s="133" t="n">
        <x:v>0.9916699722332408</x:v>
      </x:c>
      <x:c r="L890" s="133" t="n">
        <x:v>0.966702470461869</x:v>
      </x:c>
      <x:c r="M890" s="133" t="n">
        <x:v>0.9512485136741974</x:v>
      </x:c>
      <x:c r="N890" s="133" t="n">
        <x:v>1.1904761904761905</x:v>
      </x:c>
      <x:c r="O890" s="133" t="n">
        <x:v>0.9216589861751152</x:v>
      </x:c>
      <x:c r="P890" s="132"/>
    </x:row>
    <x:row r="891">
      <x:c r="A891" s="136" t="str">
        <x:v>01073013200</x:v>
      </x:c>
      <x:c r="B891" s="132" t="str">
        <x:v>Jefferson County</x:v>
      </x:c>
      <x:c r="C891" s="132" t="n">
        <x:v>1</x:v>
      </x:c>
      <x:c r="D891" s="134" t="n">
        <x:v>2189</x:v>
      </x:c>
      <x:c r="E891" s="133" t="n">
        <x:v>19.7</x:v>
      </x:c>
      <x:c r="F891" s="134" t="n">
        <x:v>1232</x:v>
      </x:c>
      <x:c r="G891" s="134" t="n">
        <x:v>0</x:v>
      </x:c>
      <x:c r="H891" s="134" t="n">
        <x:v>45</x:v>
      </x:c>
      <x:c r="I891" s="134" t="n">
        <x:v>25</x:v>
      </x:c>
      <x:c r="J891" s="133" t="n">
        <x:v>2.055733211512106</x:v>
      </x:c>
      <x:c r="K891" s="133" t="n">
        <x:v>2.029220779220779</x:v>
      </x:c>
      <x:c r="L891" s="133" t="n">
        <x:v>2.033271719038817</x:v>
      </x:c>
      <x:c r="M891" s="133" t="n">
        <x:v>2.0338983050847457</x:v>
      </x:c>
      <x:c r="N891" s="133" t="n">
        <x:v>1.7241379310344827</x:v>
      </x:c>
      <x:c r="O891" s="133" t="n">
        <x:v>1.8726591760299625</x:v>
      </x:c>
      <x:c r="P891" s="132"/>
    </x:row>
    <x:row r="892">
      <x:c r="A892" s="136" t="str">
        <x:v>01095030102</x:v>
      </x:c>
      <x:c r="B892" s="132" t="str">
        <x:v>Marshall County</x:v>
      </x:c>
      <x:c r="C892" s="132" t="n">
        <x:v>0</x:v>
      </x:c>
      <x:c r="D892" s="134" t="n">
        <x:v>1397</x:v>
      </x:c>
      <x:c r="E892" s="133" t="n">
        <x:v>10.8</x:v>
      </x:c>
      <x:c r="F892" s="134" t="n">
        <x:v>752</x:v>
      </x:c>
      <x:c r="G892" s="134" t="n">
        <x:v>0</x:v>
      </x:c>
      <x:c r="H892" s="134" t="n">
        <x:v>47</x:v>
      </x:c>
      <x:c r="I892" s="134" t="n">
        <x:v>25</x:v>
      </x:c>
      <x:c r="J892" s="133" t="n">
        <x:v>3.364352183249821</x:v>
      </x:c>
      <x:c r="K892" s="133" t="n">
        <x:v>3.324468085106383</x:v>
      </x:c>
      <x:c r="L892" s="133" t="n">
        <x:v>3.272727272727273</x:v>
      </x:c>
      <x:c r="M892" s="133" t="n">
        <x:v>3.2679738562091503</x:v>
      </x:c>
      <x:c r="N892" s="133"/>
      <x:c r="O892" s="133" t="n">
        <x:v>3.225806451612903</x:v>
      </x:c>
      <x:c r="P892" s="132"/>
    </x:row>
    <x:row r="893">
      <x:c r="A893" s="136" t="str">
        <x:v>01101005614</x:v>
      </x:c>
      <x:c r="B893" s="132" t="str">
        <x:v>Montgomery County</x:v>
      </x:c>
      <x:c r="C893" s="132" t="n">
        <x:v>1</x:v>
      </x:c>
      <x:c r="D893" s="134" t="n">
        <x:v>2808</x:v>
      </x:c>
      <x:c r="E893" s="133" t="n">
        <x:v>53.9</x:v>
      </x:c>
      <x:c r="F893" s="134" t="n">
        <x:v>952</x:v>
      </x:c>
      <x:c r="G893" s="134" t="n">
        <x:v>0</x:v>
      </x:c>
      <x:c r="H893" s="134" t="n">
        <x:v>75</x:v>
      </x:c>
      <x:c r="I893" s="134" t="n">
        <x:v>25</x:v>
      </x:c>
      <x:c r="J893" s="133" t="n">
        <x:v>2.6709401709401708</x:v>
      </x:c>
      <x:c r="K893" s="133" t="n">
        <x:v>2.6260504201680672</x:v>
      </x:c>
      <x:c r="L893" s="133" t="n">
        <x:v>2.688728024819028</x:v>
      </x:c>
      <x:c r="M893" s="133" t="n">
        <x:v>2.8368794326241136</x:v>
      </x:c>
      <x:c r="N893" s="133" t="n">
        <x:v>2.5</x:v>
      </x:c>
      <x:c r="O893" s="133" t="n">
        <x:v>2.626641651031895</x:v>
      </x:c>
      <x:c r="P893" s="132"/>
    </x:row>
    <x:row r="894">
      <x:c r="A894" s="136" t="str">
        <x:v>01113030300</x:v>
      </x:c>
      <x:c r="B894" s="132" t="str">
        <x:v>Russell County</x:v>
      </x:c>
      <x:c r="C894" s="132" t="n">
        <x:v>1</x:v>
      </x:c>
      <x:c r="D894" s="134" t="n">
        <x:v>3198</x:v>
      </x:c>
      <x:c r="E894" s="133" t="n">
        <x:v>45.9</x:v>
      </x:c>
      <x:c r="F894" s="134" t="n">
        <x:v>815</x:v>
      </x:c>
      <x:c r="G894" s="134" t="n">
        <x:v>0</x:v>
      </x:c>
      <x:c r="H894" s="134" t="n">
        <x:v>98</x:v>
      </x:c>
      <x:c r="I894" s="134" t="n">
        <x:v>25</x:v>
      </x:c>
      <x:c r="J894" s="133" t="n">
        <x:v>3.0644152595372107</x:v>
      </x:c>
      <x:c r="K894" s="133" t="n">
        <x:v>3.067484662576687</x:v>
      </x:c>
      <x:c r="L894" s="133" t="n">
        <x:v>3.0144167758846656</x:v>
      </x:c>
      <x:c r="M894" s="133" t="n">
        <x:v>2.9962546816479403</x:v>
      </x:c>
      <x:c r="N894" s="133" t="n">
        <x:v>3.1914893617021276</x:v>
      </x:c>
      <x:c r="O894" s="133" t="n">
        <x:v>2.824858757062147</x:v>
      </x:c>
      <x:c r="P894" s="132"/>
    </x:row>
    <x:row r="895">
      <x:c r="A895" s="136" t="str">
        <x:v>01125011800</x:v>
      </x:c>
      <x:c r="B895" s="132" t="str">
        <x:v>Tuscaloosa County</x:v>
      </x:c>
      <x:c r="C895" s="132" t="n">
        <x:v>1</x:v>
      </x:c>
      <x:c r="D895" s="134" t="n">
        <x:v>2575</x:v>
      </x:c>
      <x:c r="E895" s="133" t="n">
        <x:v>48.3</x:v>
      </x:c>
      <x:c r="F895" s="134" t="n">
        <x:v>830</x:v>
      </x:c>
      <x:c r="G895" s="134" t="n">
        <x:v>0</x:v>
      </x:c>
      <x:c r="H895" s="134" t="n">
        <x:v>77</x:v>
      </x:c>
      <x:c r="I895" s="134" t="n">
        <x:v>25</x:v>
      </x:c>
      <x:c r="J895" s="133" t="n">
        <x:v>2.9902912621359223</x:v>
      </x:c>
      <x:c r="K895" s="133" t="n">
        <x:v>3.0120481927710845</x:v>
      </x:c>
      <x:c r="L895" s="133" t="n">
        <x:v>3.019538188277087</x:v>
      </x:c>
      <x:c r="M895" s="133" t="n">
        <x:v>2.93398533007335</x:v>
      </x:c>
      <x:c r="N895" s="133" t="n">
        <x:v>3.058103975535168</x:v>
      </x:c>
      <x:c r="O895" s="133" t="n">
        <x:v>3.0088495575221237</x:v>
      </x:c>
      <x:c r="P895" s="132"/>
    </x:row>
    <x:row r="896">
      <x:c r="A896" s="136" t="str">
        <x:v>01005950500</x:v>
      </x:c>
      <x:c r="B896" s="132" t="str">
        <x:v>Barbour County</x:v>
      </x:c>
      <x:c r="C896" s="132" t="n">
        <x:v>0</x:v>
      </x:c>
      <x:c r="D896" s="134" t="n">
        <x:v>3105</x:v>
      </x:c>
      <x:c r="E896" s="133" t="n">
        <x:v>21.4</x:v>
      </x:c>
      <x:c r="F896" s="134" t="n">
        <x:v>1911</x:v>
      </x:c>
      <x:c r="G896" s="134" t="n">
        <x:v>0</x:v>
      </x:c>
      <x:c r="H896" s="134" t="n">
        <x:v>42</x:v>
      </x:c>
      <x:c r="I896" s="134" t="n">
        <x:v>26</x:v>
      </x:c>
      <x:c r="J896" s="133" t="n">
        <x:v>1.3526570048309179</x:v>
      </x:c>
      <x:c r="K896" s="133" t="n">
        <x:v>1.3605442176870748</x:v>
      </x:c>
      <x:c r="L896" s="133" t="n">
        <x:v>1.4134275618374559</x:v>
      </x:c>
      <x:c r="M896" s="133" t="n">
        <x:v>1.3003901170351104</x:v>
      </x:c>
      <x:c r="N896" s="133" t="n">
        <x:v>0</x:v>
      </x:c>
      <x:c r="O896" s="133" t="n">
        <x:v>1.3157894736842106</x:v>
      </x:c>
      <x:c r="P896" s="132"/>
    </x:row>
    <x:row r="897">
      <x:c r="A897" s="136" t="str">
        <x:v>01039961600</x:v>
      </x:c>
      <x:c r="B897" s="132" t="str">
        <x:v>Covington County</x:v>
      </x:c>
      <x:c r="C897" s="132" t="n">
        <x:v>0</x:v>
      </x:c>
      <x:c r="D897" s="134" t="n">
        <x:v>4467</x:v>
      </x:c>
      <x:c r="E897" s="133" t="n">
        <x:v>11.6</x:v>
      </x:c>
      <x:c r="F897" s="134" t="n">
        <x:v>3383</x:v>
      </x:c>
      <x:c r="G897" s="134" t="n">
        <x:v>0</x:v>
      </x:c>
      <x:c r="H897" s="134" t="n">
        <x:v>34</x:v>
      </x:c>
      <x:c r="I897" s="134" t="n">
        <x:v>26</x:v>
      </x:c>
      <x:c r="J897" s="133" t="n">
        <x:v>0.7611372285650324</x:v>
      </x:c>
      <x:c r="K897" s="133" t="n">
        <x:v>0.7685486254803429</x:v>
      </x:c>
      <x:c r="L897" s="133" t="n">
        <x:v>0.7415254237288136</x:v>
      </x:c>
      <x:c r="M897" s="133" t="n">
        <x:v>0.8138351983723296</x:v>
      </x:c>
      <x:c r="N897" s="133" t="n">
        <x:v>1.2820512820512822</x:v>
      </x:c>
      <x:c r="O897" s="133" t="n">
        <x:v>0.684931506849315</x:v>
      </x:c>
      <x:c r="P897" s="132"/>
    </x:row>
    <x:row r="898">
      <x:c r="A898" s="136" t="str">
        <x:v>01047956400</x:v>
      </x:c>
      <x:c r="B898" s="132" t="str">
        <x:v>Dallas County</x:v>
      </x:c>
      <x:c r="C898" s="132" t="n">
        <x:v>1</x:v>
      </x:c>
      <x:c r="D898" s="134" t="n">
        <x:v>2645</x:v>
      </x:c>
      <x:c r="E898" s="133" t="n">
        <x:v>27.5</x:v>
      </x:c>
      <x:c r="F898" s="134" t="n">
        <x:v>549</x:v>
      </x:c>
      <x:c r="G898" s="134" t="n">
        <x:v>0</x:v>
      </x:c>
      <x:c r="H898" s="134" t="n">
        <x:v>126</x:v>
      </x:c>
      <x:c r="I898" s="134" t="n">
        <x:v>26</x:v>
      </x:c>
      <x:c r="J898" s="133" t="n">
        <x:v>4.763705103969754</x:v>
      </x:c>
      <x:c r="K898" s="133" t="n">
        <x:v>4.735883424408015</x:v>
      </x:c>
      <x:c r="L898" s="133" t="n">
        <x:v>4.768583450210379</x:v>
      </x:c>
      <x:c r="M898" s="133" t="n">
        <x:v>4.721030042918455</x:v>
      </x:c>
      <x:c r="N898" s="133" t="n">
        <x:v>4.745762711864407</x:v>
      </x:c>
      <x:c r="O898" s="133" t="n">
        <x:v>4.871794871794871</x:v>
      </x:c>
      <x:c r="P898" s="132"/>
    </x:row>
    <x:row r="899">
      <x:c r="A899" s="136" t="str">
        <x:v>01053970400</x:v>
      </x:c>
      <x:c r="B899" s="132" t="str">
        <x:v>Escambia County</x:v>
      </x:c>
      <x:c r="C899" s="132" t="n">
        <x:v>0</x:v>
      </x:c>
      <x:c r="D899" s="134" t="n">
        <x:v>4511</x:v>
      </x:c>
      <x:c r="E899" s="133" t="n">
        <x:v>18.6</x:v>
      </x:c>
      <x:c r="F899" s="134" t="n">
        <x:v>1617</x:v>
      </x:c>
      <x:c r="G899" s="134" t="n">
        <x:v>0</x:v>
      </x:c>
      <x:c r="H899" s="134" t="n">
        <x:v>72</x:v>
      </x:c>
      <x:c r="I899" s="134" t="n">
        <x:v>26</x:v>
      </x:c>
      <x:c r="J899" s="133" t="n">
        <x:v>1.5960984260696076</x:v>
      </x:c>
      <x:c r="K899" s="133" t="n">
        <x:v>1.6079158936301794</x:v>
      </x:c>
      <x:c r="L899" s="133" t="n">
        <x:v>1.5852047556142668</x:v>
      </x:c>
      <x:c r="M899" s="133" t="n">
        <x:v>1.5050167224080269</x:v>
      </x:c>
      <x:c r="N899" s="133" t="n">
        <x:v>2.5641025641025643</x:v>
      </x:c>
      <x:c r="O899" s="133" t="n">
        <x:v>1.25</x:v>
      </x:c>
      <x:c r="P899" s="132"/>
    </x:row>
    <x:row r="900">
      <x:c r="A900" s="136" t="str">
        <x:v>01059973500</x:v>
      </x:c>
      <x:c r="B900" s="132" t="str">
        <x:v>Franklin County</x:v>
      </x:c>
      <x:c r="C900" s="132" t="n">
        <x:v>0</x:v>
      </x:c>
      <x:c r="D900" s="134" t="n">
        <x:v>2213</x:v>
      </x:c>
      <x:c r="E900" s="133" t="n">
        <x:v>8</x:v>
      </x:c>
      <x:c r="F900" s="134" t="n">
        <x:v>1762</x:v>
      </x:c>
      <x:c r="G900" s="134" t="n">
        <x:v>0</x:v>
      </x:c>
      <x:c r="H900" s="134" t="n">
        <x:v>32</x:v>
      </x:c>
      <x:c r="I900" s="134" t="n">
        <x:v>26</x:v>
      </x:c>
      <x:c r="J900" s="133" t="n">
        <x:v>1.4460009037505648</x:v>
      </x:c>
      <x:c r="K900" s="133" t="n">
        <x:v>1.4755959137343928</x:v>
      </x:c>
      <x:c r="L900" s="133" t="n">
        <x:v>1.4644351464435146</x:v>
      </x:c>
      <x:c r="M900" s="133" t="n">
        <x:v>1.342281879194631</x:v>
      </x:c>
      <x:c r="N900" s="133" t="n">
        <x:v>0</x:v>
      </x:c>
      <x:c r="O900" s="133" t="n">
        <x:v>1.7543859649122806</x:v>
      </x:c>
      <x:c r="P900" s="132"/>
    </x:row>
    <x:row r="901">
      <x:c r="A901" s="136" t="str">
        <x:v>01061050200</x:v>
      </x:c>
      <x:c r="B901" s="132" t="str">
        <x:v>Geneva County</x:v>
      </x:c>
      <x:c r="C901" s="132" t="n">
        <x:v>0</x:v>
      </x:c>
      <x:c r="D901" s="134" t="n">
        <x:v>2091</x:v>
      </x:c>
      <x:c r="E901" s="133" t="n">
        <x:v>18.8</x:v>
      </x:c>
      <x:c r="F901" s="134" t="n">
        <x:v>976</x:v>
      </x:c>
      <x:c r="G901" s="134" t="n">
        <x:v>0</x:v>
      </x:c>
      <x:c r="H901" s="134" t="n">
        <x:v>57</x:v>
      </x:c>
      <x:c r="I901" s="134" t="n">
        <x:v>26</x:v>
      </x:c>
      <x:c r="J901" s="133" t="n">
        <x:v>2.72596843615495</x:v>
      </x:c>
      <x:c r="K901" s="133" t="n">
        <x:v>2.6639344262295084</x:v>
      </x:c>
      <x:c r="L901" s="133" t="n">
        <x:v>2.745995423340961</x:v>
      </x:c>
      <x:c r="M901" s="133" t="n">
        <x:v>2.75049115913556</x:v>
      </x:c>
      <x:c r="N901" s="133" t="n">
        <x:v>4.545454545454546</x:v>
      </x:c>
      <x:c r="O901" s="133" t="n">
        <x:v>3.0927835051546393</x:v>
      </x:c>
      <x:c r="P901" s="132"/>
    </x:row>
    <x:row r="902">
      <x:c r="A902" s="136" t="str">
        <x:v>01073005701</x:v>
      </x:c>
      <x:c r="B902" s="132" t="str">
        <x:v>Jefferson County</x:v>
      </x:c>
      <x:c r="C902" s="132" t="n">
        <x:v>1</x:v>
      </x:c>
      <x:c r="D902" s="134" t="n">
        <x:v>1990</x:v>
      </x:c>
      <x:c r="E902" s="133" t="n">
        <x:v>11.8</x:v>
      </x:c>
      <x:c r="F902" s="134" t="n">
        <x:v>948</x:v>
      </x:c>
      <x:c r="G902" s="134" t="n">
        <x:v>0</x:v>
      </x:c>
      <x:c r="H902" s="134" t="n">
        <x:v>55</x:v>
      </x:c>
      <x:c r="I902" s="134" t="n">
        <x:v>26</x:v>
      </x:c>
      <x:c r="J902" s="133" t="n">
        <x:v>2.763819095477387</x:v>
      </x:c>
      <x:c r="K902" s="133" t="n">
        <x:v>2.742616033755274</x:v>
      </x:c>
      <x:c r="L902" s="133" t="n">
        <x:v>2.863961813842482</x:v>
      </x:c>
      <x:c r="M902" s="133" t="n">
        <x:v>2.7586206896551726</x:v>
      </x:c>
      <x:c r="N902" s="133" t="n">
        <x:v>3.0120481927710845</x:v>
      </x:c>
      <x:c r="O902" s="133" t="n">
        <x:v>2.6022304832713754</x:v>
      </x:c>
      <x:c r="P902" s="132"/>
    </x:row>
    <x:row r="903">
      <x:c r="A903" s="136" t="str">
        <x:v>01089001500</x:v>
      </x:c>
      <x:c r="B903" s="132" t="str">
        <x:v>Madison County</x:v>
      </x:c>
      <x:c r="C903" s="132" t="n">
        <x:v>1</x:v>
      </x:c>
      <x:c r="D903" s="134" t="n">
        <x:v>5895</x:v>
      </x:c>
      <x:c r="E903" s="133" t="n">
        <x:v>20.3</x:v>
      </x:c>
      <x:c r="F903" s="134" t="n">
        <x:v>2115</x:v>
      </x:c>
      <x:c r="G903" s="134" t="n">
        <x:v>0</x:v>
      </x:c>
      <x:c r="H903" s="134" t="n">
        <x:v>73</x:v>
      </x:c>
      <x:c r="I903" s="134" t="n">
        <x:v>26</x:v>
      </x:c>
      <x:c r="J903" s="133" t="n">
        <x:v>1.2383375742154368</x:v>
      </x:c>
      <x:c r="K903" s="133" t="n">
        <x:v>1.2293144208037825</x:v>
      </x:c>
      <x:c r="L903" s="133" t="n">
        <x:v>1.174496644295302</x:v>
      </x:c>
      <x:c r="M903" s="133" t="n">
        <x:v>1.1695906432748537</x:v>
      </x:c>
      <x:c r="N903" s="133" t="n">
        <x:v>0</x:v>
      </x:c>
      <x:c r="O903" s="133" t="n">
        <x:v>1.4218009478672986</x:v>
      </x:c>
      <x:c r="P903" s="132"/>
    </x:row>
    <x:row r="904">
      <x:c r="A904" s="136" t="str">
        <x:v>01097006202</x:v>
      </x:c>
      <x:c r="B904" s="132" t="str">
        <x:v>Mobile County</x:v>
      </x:c>
      <x:c r="C904" s="132" t="n">
        <x:v>0</x:v>
      </x:c>
      <x:c r="D904" s="134" t="n">
        <x:v>1918</x:v>
      </x:c>
      <x:c r="E904" s="133" t="n">
        <x:v>8.5</x:v>
      </x:c>
      <x:c r="F904" s="134" t="n">
        <x:v>1464</x:v>
      </x:c>
      <x:c r="G904" s="134" t="n">
        <x:v>0</x:v>
      </x:c>
      <x:c r="H904" s="134" t="n">
        <x:v>35</x:v>
      </x:c>
      <x:c r="I904" s="134" t="n">
        <x:v>26</x:v>
      </x:c>
      <x:c r="J904" s="133" t="n">
        <x:v>1.8248175182481752</x:v>
      </x:c>
      <x:c r="K904" s="133" t="n">
        <x:v>1.7759562841530054</x:v>
      </x:c>
      <x:c r="L904" s="133" t="n">
        <x:v>1.829268292682927</x:v>
      </x:c>
      <x:c r="M904" s="133" t="n">
        <x:v>1.694915254237288</x:v>
      </x:c>
      <x:c r="N904" s="133"/>
      <x:c r="O904" s="133" t="n">
        <x:v>2.2222222222222223</x:v>
      </x:c>
      <x:c r="P904" s="132"/>
    </x:row>
    <x:row r="905">
      <x:c r="A905" s="136" t="str">
        <x:v>01099076101</x:v>
      </x:c>
      <x:c r="B905" s="132" t="str">
        <x:v>Monroe County</x:v>
      </x:c>
      <x:c r="C905" s="132" t="n">
        <x:v>0</x:v>
      </x:c>
      <x:c r="D905" s="134" t="n">
        <x:v>1589</x:v>
      </x:c>
      <x:c r="E905" s="133" t="n">
        <x:v>17.9</x:v>
      </x:c>
      <x:c r="F905" s="134" t="n">
        <x:v>1171</x:v>
      </x:c>
      <x:c r="G905" s="134" t="n">
        <x:v>0</x:v>
      </x:c>
      <x:c r="H905" s="134" t="n">
        <x:v>35</x:v>
      </x:c>
      <x:c r="I905" s="134" t="n">
        <x:v>26</x:v>
      </x:c>
      <x:c r="J905" s="133" t="n">
        <x:v>2.202643171806167</x:v>
      </x:c>
      <x:c r="K905" s="133" t="n">
        <x:v>2.220324508966695</x:v>
      </x:c>
      <x:c r="L905" s="133" t="n">
        <x:v>2.2408963585434174</x:v>
      </x:c>
      <x:c r="M905" s="133" t="n">
        <x:v>2.3121387283236996</x:v>
      </x:c>
      <x:c r="N905" s="133" t="n">
        <x:v>0</x:v>
      </x:c>
      <x:c r="O905" s="133" t="n">
        <x:v>2.4390243902439024</x:v>
      </x:c>
      <x:c r="P905" s="132"/>
    </x:row>
    <x:row r="906">
      <x:c r="A906" s="136" t="str">
        <x:v>01115040301</x:v>
      </x:c>
      <x:c r="B906" s="132" t="str">
        <x:v>St. Clair County</x:v>
      </x:c>
      <x:c r="C906" s="132" t="n">
        <x:v>0</x:v>
      </x:c>
      <x:c r="D906" s="134" t="n">
        <x:v>2876</x:v>
      </x:c>
      <x:c r="E906" s="133" t="n">
        <x:v>12.4</x:v>
      </x:c>
      <x:c r="F906" s="134" t="n">
        <x:v>1989</x:v>
      </x:c>
      <x:c r="G906" s="134" t="n">
        <x:v>0</x:v>
      </x:c>
      <x:c r="H906" s="134" t="n">
        <x:v>37</x:v>
      </x:c>
      <x:c r="I906" s="134" t="n">
        <x:v>26</x:v>
      </x:c>
      <x:c r="J906" s="133" t="n">
        <x:v>1.2865090403337969</x:v>
      </x:c>
      <x:c r="K906" s="133" t="n">
        <x:v>1.3071895424836601</x:v>
      </x:c>
      <x:c r="L906" s="133" t="n">
        <x:v>1.2861736334405145</x:v>
      </x:c>
      <x:c r="M906" s="133" t="n">
        <x:v>1.2024048096192386</x:v>
      </x:c>
      <x:c r="N906" s="133" t="n">
        <x:v>1.694915254237288</x:v>
      </x:c>
      <x:c r="O906" s="133" t="n">
        <x:v>1.2307692307692308</x:v>
      </x:c>
      <x:c r="P906" s="132"/>
    </x:row>
    <x:row r="907">
      <x:c r="A907" s="136" t="str">
        <x:v>01115040402</x:v>
      </x:c>
      <x:c r="B907" s="132" t="str">
        <x:v>St. Clair County</x:v>
      </x:c>
      <x:c r="C907" s="132" t="n">
        <x:v>0</x:v>
      </x:c>
      <x:c r="D907" s="134" t="n">
        <x:v>3923</x:v>
      </x:c>
      <x:c r="E907" s="133" t="n">
        <x:v>7.2</x:v>
      </x:c>
      <x:c r="F907" s="134" t="n">
        <x:v>2416</x:v>
      </x:c>
      <x:c r="G907" s="134" t="n">
        <x:v>0</x:v>
      </x:c>
      <x:c r="H907" s="134" t="n">
        <x:v>42</x:v>
      </x:c>
      <x:c r="I907" s="134" t="n">
        <x:v>26</x:v>
      </x:c>
      <x:c r="J907" s="133" t="n">
        <x:v>1.0706092276319144</x:v>
      </x:c>
      <x:c r="K907" s="133" t="n">
        <x:v>1.076158940397351</x:v>
      </x:c>
      <x:c r="L907" s="133" t="n">
        <x:v>1.098901098901099</x:v>
      </x:c>
      <x:c r="M907" s="133" t="n">
        <x:v>1.0810810810810811</x:v>
      </x:c>
      <x:c r="N907" s="133" t="n">
        <x:v>0</x:v>
      </x:c>
      <x:c r="O907" s="133" t="n">
        <x:v>0.9615384615384616</x:v>
      </x:c>
      <x:c r="P907" s="132"/>
    </x:row>
    <x:row r="908">
      <x:c r="A908" s="136" t="str">
        <x:v>01071950101</x:v>
      </x:c>
      <x:c r="B908" s="132" t="str">
        <x:v>Jackson County</x:v>
      </x:c>
      <x:c r="C908" s="132" t="n">
        <x:v>0</x:v>
      </x:c>
      <x:c r="D908" s="134" t="n">
        <x:v>2882</x:v>
      </x:c>
      <x:c r="E908" s="133" t="n">
        <x:v>23.3</x:v>
      </x:c>
      <x:c r="F908" s="134" t="n">
        <x:v>1409</x:v>
      </x:c>
      <x:c r="G908" s="134" t="n">
        <x:v>0</x:v>
      </x:c>
      <x:c r="H908" s="134" t="n">
        <x:v>55</x:v>
      </x:c>
      <x:c r="I908" s="134" t="n">
        <x:v>27</x:v>
      </x:c>
      <x:c r="J908" s="133" t="n">
        <x:v>1.9083969465648856</x:v>
      </x:c>
      <x:c r="K908" s="133" t="n">
        <x:v>1.9162526614620299</x:v>
      </x:c>
      <x:c r="L908" s="133" t="n">
        <x:v>1.9031141868512111</x:v>
      </x:c>
      <x:c r="M908" s="133" t="n">
        <x:v>1.9543973941368078</x:v>
      </x:c>
      <x:c r="N908" s="133" t="n">
        <x:v>2.0547945205479454</x:v>
      </x:c>
      <x:c r="O908" s="133" t="n">
        <x:v>1.5625</x:v>
      </x:c>
      <x:c r="P908" s="132"/>
    </x:row>
    <x:row r="909">
      <x:c r="A909" s="136" t="str">
        <x:v>01075030200</x:v>
      </x:c>
      <x:c r="B909" s="132" t="str">
        <x:v>Lamar County</x:v>
      </x:c>
      <x:c r="C909" s="132" t="n">
        <x:v>0</x:v>
      </x:c>
      <x:c r="D909" s="134" t="n">
        <x:v>4009</x:v>
      </x:c>
      <x:c r="E909" s="133" t="n">
        <x:v>9</x:v>
      </x:c>
      <x:c r="F909" s="134" t="n">
        <x:v>2847</x:v>
      </x:c>
      <x:c r="G909" s="134" t="n">
        <x:v>0</x:v>
      </x:c>
      <x:c r="H909" s="134" t="n">
        <x:v>37</x:v>
      </x:c>
      <x:c r="I909" s="134" t="n">
        <x:v>27</x:v>
      </x:c>
      <x:c r="J909" s="133" t="n">
        <x:v>0.9229234222998254</x:v>
      </x:c>
      <x:c r="K909" s="133" t="n">
        <x:v>0.9483667017913593</x:v>
      </x:c>
      <x:c r="L909" s="133" t="n">
        <x:v>0.9079118028534371</x:v>
      </x:c>
      <x:c r="M909" s="133" t="n">
        <x:v>0.9240246406570842</x:v>
      </x:c>
      <x:c r="N909" s="133" t="n">
        <x:v>0</x:v>
      </x:c>
      <x:c r="O909" s="133" t="n">
        <x:v>0.7407407407407407</x:v>
      </x:c>
      <x:c r="P909" s="132"/>
    </x:row>
    <x:row r="910">
      <x:c r="A910" s="136" t="str">
        <x:v>01097000801</x:v>
      </x:c>
      <x:c r="B910" s="132" t="str">
        <x:v>Mobile County</x:v>
      </x:c>
      <x:c r="C910" s="132" t="n">
        <x:v>1</x:v>
      </x:c>
      <x:c r="D910" s="134" t="n">
        <x:v>2824</x:v>
      </x:c>
      <x:c r="E910" s="133" t="n">
        <x:v>12.5</x:v>
      </x:c>
      <x:c r="F910" s="134" t="n">
        <x:v>1885</x:v>
      </x:c>
      <x:c r="G910" s="134" t="n">
        <x:v>0</x:v>
      </x:c>
      <x:c r="H910" s="134" t="n">
        <x:v>40</x:v>
      </x:c>
      <x:c r="I910" s="134" t="n">
        <x:v>27</x:v>
      </x:c>
      <x:c r="J910" s="133" t="n">
        <x:v>1.4164305949008498</x:v>
      </x:c>
      <x:c r="K910" s="133" t="n">
        <x:v>1.4323607427055702</x:v>
      </x:c>
      <x:c r="L910" s="133" t="n">
        <x:v>1.4173228346456692</x:v>
      </x:c>
      <x:c r="M910" s="133" t="n">
        <x:v>1.468189233278956</x:v>
      </x:c>
      <x:c r="N910" s="133" t="n">
        <x:v>1.2048192771084338</x:v>
      </x:c>
      <x:c r="O910" s="133" t="n">
        <x:v>1.4234875444839858</x:v>
      </x:c>
      <x:c r="P910" s="132"/>
    </x:row>
    <x:row r="911">
      <x:c r="A911" s="136" t="str">
        <x:v>01125010404</x:v>
      </x:c>
      <x:c r="B911" s="132" t="str">
        <x:v>Tuscaloosa County</x:v>
      </x:c>
      <x:c r="C911" s="132" t="n">
        <x:v>1</x:v>
      </x:c>
      <x:c r="D911" s="134" t="n">
        <x:v>2657</x:v>
      </x:c>
      <x:c r="E911" s="133" t="n">
        <x:v>11.8</x:v>
      </x:c>
      <x:c r="F911" s="134" t="n">
        <x:v>1859</x:v>
      </x:c>
      <x:c r="G911" s="134" t="n">
        <x:v>0</x:v>
      </x:c>
      <x:c r="H911" s="134" t="n">
        <x:v>38</x:v>
      </x:c>
      <x:c r="I911" s="134" t="n">
        <x:v>27</x:v>
      </x:c>
      <x:c r="J911" s="133" t="n">
        <x:v>1.4301844185171246</x:v>
      </x:c>
      <x:c r="K911" s="133" t="n">
        <x:v>1.4523937600860677</x:v>
      </x:c>
      <x:c r="L911" s="133" t="n">
        <x:v>1.4563106796116505</x:v>
      </x:c>
      <x:c r="M911" s="133" t="n">
        <x:v>1.3020833333333333</x:v>
      </x:c>
      <x:c r="N911" s="133" t="n">
        <x:v>1.1764705882352942</x:v>
      </x:c>
      <x:c r="O911" s="133" t="n">
        <x:v>1.6</x:v>
      </x:c>
      <x:c r="P911" s="132"/>
    </x:row>
    <x:row r="912">
      <x:c r="A912" s="136" t="str">
        <x:v>01057020100</x:v>
      </x:c>
      <x:c r="B912" s="132" t="str">
        <x:v>Fayette County</x:v>
      </x:c>
      <x:c r="C912" s="132" t="n">
        <x:v>0</x:v>
      </x:c>
      <x:c r="D912" s="134" t="n">
        <x:v>3499</x:v>
      </x:c>
      <x:c r="E912" s="133" t="n">
        <x:v>10.6</x:v>
      </x:c>
      <x:c r="F912" s="134" t="n">
        <x:v>2194</x:v>
      </x:c>
      <x:c r="G912" s="134" t="n">
        <x:v>0</x:v>
      </x:c>
      <x:c r="H912" s="134" t="n">
        <x:v>45</x:v>
      </x:c>
      <x:c r="I912" s="134" t="n">
        <x:v>28</x:v>
      </x:c>
      <x:c r="J912" s="133" t="n">
        <x:v>1.2860817376393254</x:v>
      </x:c>
      <x:c r="K912" s="133" t="n">
        <x:v>1.276207839562443</x:v>
      </x:c>
      <x:c r="L912" s="133" t="n">
        <x:v>1.297016861219196</x:v>
      </x:c>
      <x:c r="M912" s="133" t="n">
        <x:v>1.2765957446808511</x:v>
      </x:c>
      <x:c r="N912" s="133" t="n">
        <x:v>1.0101010101010102</x:v>
      </x:c>
      <x:c r="O912" s="133" t="n">
        <x:v>1.492537313432836</x:v>
      </x:c>
      <x:c r="P912" s="132"/>
    </x:row>
    <x:row r="913">
      <x:c r="A913" s="136" t="str">
        <x:v>01073003001</x:v>
      </x:c>
      <x:c r="B913" s="132" t="str">
        <x:v>Jefferson County</x:v>
      </x:c>
      <x:c r="C913" s="132" t="n">
        <x:v>1</x:v>
      </x:c>
      <x:c r="D913" s="134" t="n">
        <x:v>3200</x:v>
      </x:c>
      <x:c r="E913" s="133" t="n">
        <x:v>10</x:v>
      </x:c>
      <x:c r="F913" s="134" t="n">
        <x:v>1370</x:v>
      </x:c>
      <x:c r="G913" s="134" t="n">
        <x:v>0</x:v>
      </x:c>
      <x:c r="H913" s="134" t="n">
        <x:v>66</x:v>
      </x:c>
      <x:c r="I913" s="134" t="n">
        <x:v>28</x:v>
      </x:c>
      <x:c r="J913" s="133" t="n">
        <x:v>2.0625</x:v>
      </x:c>
      <x:c r="K913" s="133" t="n">
        <x:v>2.0437956204379564</x:v>
      </x:c>
      <x:c r="L913" s="133" t="n">
        <x:v>1.9950124688279303</x:v>
      </x:c>
      <x:c r="M913" s="133" t="n">
        <x:v>2.0654044750430294</x:v>
      </x:c>
      <x:c r="N913" s="133" t="n">
        <x:v>1.7241379310344827</x:v>
      </x:c>
      <x:c r="O913" s="133" t="n">
        <x:v>1.8018018018018018</x:v>
      </x:c>
      <x:c r="P913" s="132"/>
    </x:row>
    <x:row r="914">
      <x:c r="A914" s="136" t="str">
        <x:v>01125010705</x:v>
      </x:c>
      <x:c r="B914" s="132" t="str">
        <x:v>Tuscaloosa County</x:v>
      </x:c>
      <x:c r="C914" s="132" t="n">
        <x:v>0</x:v>
      </x:c>
      <x:c r="D914" s="134" t="n">
        <x:v>4318</x:v>
      </x:c>
      <x:c r="E914" s="133" t="n">
        <x:v>5.3</x:v>
      </x:c>
      <x:c r="F914" s="134" t="n">
        <x:v>4028</x:v>
      </x:c>
      <x:c r="G914" s="134" t="n">
        <x:v>0</x:v>
      </x:c>
      <x:c r="H914" s="134" t="n">
        <x:v>30</x:v>
      </x:c>
      <x:c r="I914" s="134" t="n">
        <x:v>28</x:v>
      </x:c>
      <x:c r="J914" s="133" t="n">
        <x:v>0.6947660954145438</x:v>
      </x:c>
      <x:c r="K914" s="133" t="n">
        <x:v>0.6951340615690169</x:v>
      </x:c>
      <x:c r="L914" s="133" t="n">
        <x:v>0.6606110652353427</x:v>
      </x:c>
      <x:c r="M914" s="133" t="n">
        <x:v>0.7407407407407407</x:v>
      </x:c>
      <x:c r="N914" s="133" t="n">
        <x:v>0</x:v>
      </x:c>
      <x:c r="O914" s="133" t="n">
        <x:v>0</x:v>
      </x:c>
      <x:c r="P914" s="132"/>
    </x:row>
    <x:row r="915">
      <x:c r="A915" s="136" t="str">
        <x:v>01089000702</x:v>
      </x:c>
      <x:c r="B915" s="132" t="str">
        <x:v>Madison County</x:v>
      </x:c>
      <x:c r="C915" s="132" t="n">
        <x:v>1</x:v>
      </x:c>
      <x:c r="D915" s="134" t="n">
        <x:v>2765</x:v>
      </x:c>
      <x:c r="E915" s="133" t="n">
        <x:v>18.9</x:v>
      </x:c>
      <x:c r="F915" s="134" t="n">
        <x:v>1493</x:v>
      </x:c>
      <x:c r="G915" s="134" t="n">
        <x:v>0</x:v>
      </x:c>
      <x:c r="H915" s="134" t="n">
        <x:v>54</x:v>
      </x:c>
      <x:c r="I915" s="134" t="n">
        <x:v>29</x:v>
      </x:c>
      <x:c r="J915" s="133" t="n">
        <x:v>1.952983725135624</x:v>
      </x:c>
      <x:c r="K915" s="133" t="n">
        <x:v>1.942397856664434</x:v>
      </x:c>
      <x:c r="L915" s="133" t="n">
        <x:v>2.028397565922921</x:v>
      </x:c>
      <x:c r="M915" s="133" t="n">
        <x:v>1.969872537659328</x:v>
      </x:c>
      <x:c r="N915" s="133" t="n">
        <x:v>1.845018450184502</x:v>
      </x:c>
      <x:c r="O915" s="133" t="n">
        <x:v>2.0242914979757085</x:v>
      </x:c>
      <x:c r="P915" s="132"/>
    </x:row>
    <x:row r="916">
      <x:c r="A916" s="136" t="str">
        <x:v>01009050103</x:v>
      </x:c>
      <x:c r="B916" s="132" t="str">
        <x:v>Blount County</x:v>
      </x:c>
      <x:c r="C916" s="132" t="n">
        <x:v>0</x:v>
      </x:c>
      <x:c r="D916" s="134" t="n">
        <x:v>1749</x:v>
      </x:c>
      <x:c r="E916" s="133" t="n">
        <x:v>15.4</x:v>
      </x:c>
      <x:c r="F916" s="134" t="n">
        <x:v>1144</x:v>
      </x:c>
      <x:c r="G916" s="134" t="n">
        <x:v>0</x:v>
      </x:c>
      <x:c r="H916" s="134" t="n">
        <x:v>46</x:v>
      </x:c>
      <x:c r="I916" s="134" t="n">
        <x:v>30</x:v>
      </x:c>
      <x:c r="J916" s="133" t="n">
        <x:v>2.630074328187536</x:v>
      </x:c>
      <x:c r="K916" s="133" t="n">
        <x:v>2.6223776223776225</x:v>
      </x:c>
      <x:c r="L916" s="133" t="n">
        <x:v>2.6066350710900474</x:v>
      </x:c>
      <x:c r="M916" s="133" t="n">
        <x:v>2.5641025641025643</x:v>
      </x:c>
      <x:c r="N916" s="133" t="n">
        <x:v>0</x:v>
      </x:c>
      <x:c r="O916" s="133" t="n">
        <x:v>2.816901408450704</x:v>
      </x:c>
      <x:c r="P916" s="132"/>
    </x:row>
    <x:row r="917">
      <x:c r="A917" s="136" t="str">
        <x:v>01051030401</x:v>
      </x:c>
      <x:c r="B917" s="132" t="str">
        <x:v>Elmore County</x:v>
      </x:c>
      <x:c r="C917" s="132" t="n">
        <x:v>0</x:v>
      </x:c>
      <x:c r="D917" s="134" t="n">
        <x:v>3332</x:v>
      </x:c>
      <x:c r="E917" s="133" t="n">
        <x:v>20.2</x:v>
      </x:c>
      <x:c r="F917" s="134" t="n">
        <x:v>2683</x:v>
      </x:c>
      <x:c r="G917" s="134" t="n">
        <x:v>0</x:v>
      </x:c>
      <x:c r="H917" s="134" t="n">
        <x:v>37</x:v>
      </x:c>
      <x:c r="I917" s="134" t="n">
        <x:v>30</x:v>
      </x:c>
      <x:c r="J917" s="133" t="n">
        <x:v>1.1104441776710685</x:v>
      </x:c>
      <x:c r="K917" s="133" t="n">
        <x:v>1.1181513231457323</x:v>
      </x:c>
      <x:c r="L917" s="133" t="n">
        <x:v>1.1450381679389312</x:v>
      </x:c>
      <x:c r="M917" s="133" t="n">
        <x:v>1.125703564727955</x:v>
      </x:c>
      <x:c r="N917" s="133" t="n">
        <x:v>1.1235955056179776</x:v>
      </x:c>
      <x:c r="O917" s="133" t="n">
        <x:v>1.1111111111111112</x:v>
      </x:c>
      <x:c r="P917" s="132"/>
    </x:row>
    <x:row r="918">
      <x:c r="A918" s="136" t="str">
        <x:v>01001020902</x:v>
      </x:c>
      <x:c r="B918" s="132" t="str">
        <x:v>Autauga County</x:v>
      </x:c>
      <x:c r="C918" s="132" t="n">
        <x:v>0</x:v>
      </x:c>
      <x:c r="D918" s="134" t="n">
        <x:v>3091</x:v>
      </x:c>
      <x:c r="E918" s="133" t="n">
        <x:v>7.7</x:v>
      </x:c>
      <x:c r="F918" s="134" t="n">
        <x:v>2651</x:v>
      </x:c>
      <x:c r="G918" s="134" t="n">
        <x:v>0</x:v>
      </x:c>
      <x:c r="H918" s="134" t="n">
        <x:v>36</x:v>
      </x:c>
      <x:c r="I918" s="134" t="n">
        <x:v>31</x:v>
      </x:c>
      <x:c r="J918" s="133" t="n">
        <x:v>1.1646716273050792</x:v>
      </x:c>
      <x:c r="K918" s="133" t="n">
        <x:v>1.169370049038099</x:v>
      </x:c>
      <x:c r="L918" s="133" t="n">
        <x:v>1.10803324099723</x:v>
      </x:c>
      <x:c r="M918" s="133" t="n">
        <x:v>1.183431952662722</x:v>
      </x:c>
      <x:c r="N918" s="133" t="n">
        <x:v>2.0408163265306123</x:v>
      </x:c>
      <x:c r="O918" s="133" t="n">
        <x:v>0.8264462809917356</x:v>
      </x:c>
      <x:c r="P918" s="132"/>
    </x:row>
    <x:row r="919">
      <x:c r="A919" s="136" t="str">
        <x:v>01101002800</x:v>
      </x:c>
      <x:c r="B919" s="132" t="str">
        <x:v>Montgomery County</x:v>
      </x:c>
      <x:c r="C919" s="132" t="n">
        <x:v>1</x:v>
      </x:c>
      <x:c r="D919" s="134" t="n">
        <x:v>4948</x:v>
      </x:c>
      <x:c r="E919" s="133" t="n">
        <x:v>23.5</x:v>
      </x:c>
      <x:c r="F919" s="134" t="n">
        <x:v>2471</x:v>
      </x:c>
      <x:c r="G919" s="134" t="n">
        <x:v>0</x:v>
      </x:c>
      <x:c r="H919" s="134" t="n">
        <x:v>62</x:v>
      </x:c>
      <x:c r="I919" s="134" t="n">
        <x:v>31</x:v>
      </x:c>
      <x:c r="J919" s="133" t="n">
        <x:v>1.2530315278900566</x:v>
      </x:c>
      <x:c r="K919" s="133" t="n">
        <x:v>1.2545528126264671</x:v>
      </x:c>
      <x:c r="L919" s="133" t="n">
        <x:v>1.2987012987012987</x:v>
      </x:c>
      <x:c r="M919" s="133" t="n">
        <x:v>1.183431952662722</x:v>
      </x:c>
      <x:c r="N919" s="133" t="n">
        <x:v>1.0526315789473684</x:v>
      </x:c>
      <x:c r="O919" s="133" t="n">
        <x:v>1.2012012012012012</x:v>
      </x:c>
      <x:c r="P919" s="132"/>
    </x:row>
    <x:row r="920">
      <x:c r="A920" s="136" t="str">
        <x:v>01003011410</x:v>
      </x:c>
      <x:c r="B920" s="132" t="str">
        <x:v>Baldwin County</x:v>
      </x:c>
      <x:c r="C920" s="132" t="n">
        <x:v>0</x:v>
      </x:c>
      <x:c r="D920" s="134" t="n">
        <x:v>7483</x:v>
      </x:c>
      <x:c r="E920" s="133" t="n">
        <x:v>16.7</x:v>
      </x:c>
      <x:c r="F920" s="134" t="n">
        <x:v>5863</x:v>
      </x:c>
      <x:c r="G920" s="134" t="n">
        <x:v>0</x:v>
      </x:c>
      <x:c r="H920" s="134" t="n">
        <x:v>40</x:v>
      </x:c>
      <x:c r="I920" s="134" t="n">
        <x:v>32</x:v>
      </x:c>
      <x:c r="J920" s="133" t="n">
        <x:v>0.5345449685954831</x:v>
      </x:c>
      <x:c r="K920" s="133" t="n">
        <x:v>0.5457956677468873</x:v>
      </x:c>
      <x:c r="L920" s="133" t="n">
        <x:v>0.5677785663591199</x:v>
      </x:c>
      <x:c r="M920" s="133" t="n">
        <x:v>0.5414185165132648</x:v>
      </x:c>
      <x:c r="N920" s="133" t="n">
        <x:v>0</x:v>
      </x:c>
      <x:c r="O920" s="133" t="n">
        <x:v>0.8064516129032258</x:v>
      </x:c>
      <x:c r="P920" s="132"/>
    </x:row>
    <x:row r="921">
      <x:c r="A921" s="136" t="str">
        <x:v>01097003706</x:v>
      </x:c>
      <x:c r="B921" s="132" t="str">
        <x:v>Mobile County</x:v>
      </x:c>
      <x:c r="C921" s="132" t="n">
        <x:v>1</x:v>
      </x:c>
      <x:c r="D921" s="134" t="n">
        <x:v>3179</x:v>
      </x:c>
      <x:c r="E921" s="133" t="n">
        <x:v>5.2</x:v>
      </x:c>
      <x:c r="F921" s="134" t="n">
        <x:v>2078</x:v>
      </x:c>
      <x:c r="G921" s="134" t="n">
        <x:v>0</x:v>
      </x:c>
      <x:c r="H921" s="134" t="n">
        <x:v>49</x:v>
      </x:c>
      <x:c r="I921" s="134" t="n">
        <x:v>32</x:v>
      </x:c>
      <x:c r="J921" s="133" t="n">
        <x:v>1.5413652091852783</x:v>
      </x:c>
      <x:c r="K921" s="133" t="n">
        <x:v>1.5399422521655437</x:v>
      </x:c>
      <x:c r="L921" s="133" t="n">
        <x:v>1.4760147601476015</x:v>
      </x:c>
      <x:c r="M921" s="133" t="n">
        <x:v>1.6011644832605532</x:v>
      </x:c>
      <x:c r="N921" s="133" t="n">
        <x:v>1.1235955056179776</x:v>
      </x:c>
      <x:c r="O921" s="133" t="n">
        <x:v>2.7027027027027026</x:v>
      </x:c>
      <x:c r="P921" s="132"/>
    </x:row>
    <x:row r="922">
      <x:c r="A922" s="136" t="str">
        <x:v>01097006201</x:v>
      </x:c>
      <x:c r="B922" s="132" t="str">
        <x:v>Mobile County</x:v>
      </x:c>
      <x:c r="C922" s="132" t="n">
        <x:v>0</x:v>
      </x:c>
      <x:c r="D922" s="134" t="n">
        <x:v>3960</x:v>
      </x:c>
      <x:c r="E922" s="133" t="n">
        <x:v>18.1</x:v>
      </x:c>
      <x:c r="F922" s="134" t="n">
        <x:v>2168</x:v>
      </x:c>
      <x:c r="G922" s="134" t="n">
        <x:v>0</x:v>
      </x:c>
      <x:c r="H922" s="134" t="n">
        <x:v>58</x:v>
      </x:c>
      <x:c r="I922" s="134" t="n">
        <x:v>32</x:v>
      </x:c>
      <x:c r="J922" s="133" t="n">
        <x:v>1.4646464646464648</x:v>
      </x:c>
      <x:c r="K922" s="133" t="n">
        <x:v>1.4760147601476015</x:v>
      </x:c>
      <x:c r="L922" s="133" t="n">
        <x:v>1.4395393474088292</x:v>
      </x:c>
      <x:c r="M922" s="133" t="n">
        <x:v>1.5325670498084292</x:v>
      </x:c>
      <x:c r="N922" s="133" t="n">
        <x:v>2.1739130434782608</x:v>
      </x:c>
      <x:c r="O922" s="133" t="n">
        <x:v>1.3793103448275863</x:v>
      </x:c>
      <x:c r="P922" s="132"/>
    </x:row>
    <x:row r="923">
      <x:c r="A923" s="136" t="str">
        <x:v>01013952800</x:v>
      </x:c>
      <x:c r="B923" s="132" t="str">
        <x:v>Butler County</x:v>
      </x:c>
      <x:c r="C923" s="132" t="n">
        <x:v>1</x:v>
      </x:c>
      <x:c r="D923" s="134" t="n">
        <x:v>1411</x:v>
      </x:c>
      <x:c r="E923" s="133" t="n">
        <x:v>15.6</x:v>
      </x:c>
      <x:c r="F923" s="134" t="n">
        <x:v>864</x:v>
      </x:c>
      <x:c r="G923" s="134" t="n">
        <x:v>0</x:v>
      </x:c>
      <x:c r="H923" s="134" t="n">
        <x:v>53</x:v>
      </x:c>
      <x:c r="I923" s="134" t="n">
        <x:v>33</x:v>
      </x:c>
      <x:c r="J923" s="133" t="n">
        <x:v>3.7562012756909993</x:v>
      </x:c>
      <x:c r="K923" s="133" t="n">
        <x:v>3.8194444444444446</x:v>
      </x:c>
      <x:c r="L923" s="133" t="n">
        <x:v>3.7974683544303796</x:v>
      </x:c>
      <x:c r="M923" s="133" t="n">
        <x:v>3.7542662116040955</x:v>
      </x:c>
      <x:c r="N923" s="133" t="n">
        <x:v>3.8461538461538463</x:v>
      </x:c>
      <x:c r="O923" s="133" t="n">
        <x:v>4.225352112676056</x:v>
      </x:c>
      <x:c r="P923" s="132"/>
    </x:row>
    <x:row r="924">
      <x:c r="A924" s="136" t="str">
        <x:v>01017954001</x:v>
      </x:c>
      <x:c r="B924" s="132" t="str">
        <x:v>Chambers County</x:v>
      </x:c>
      <x:c r="C924" s="132" t="n">
        <x:v>0</x:v>
      </x:c>
      <x:c r="D924" s="134" t="n">
        <x:v>2230</x:v>
      </x:c>
      <x:c r="E924" s="133" t="n">
        <x:v>4.5</x:v>
      </x:c>
      <x:c r="F924" s="134" t="n">
        <x:v>1714</x:v>
      </x:c>
      <x:c r="G924" s="134" t="n">
        <x:v>0</x:v>
      </x:c>
      <x:c r="H924" s="134" t="n">
        <x:v>43</x:v>
      </x:c>
      <x:c r="I924" s="134" t="n">
        <x:v>33</x:v>
      </x:c>
      <x:c r="J924" s="133" t="n">
        <x:v>1.9282511210762332</x:v>
      </x:c>
      <x:c r="K924" s="133" t="n">
        <x:v>1.9253208868144691</x:v>
      </x:c>
      <x:c r="L924" s="133" t="n">
        <x:v>1.9390581717451523</x:v>
      </x:c>
      <x:c r="M924" s="133" t="n">
        <x:v>1.9011406844106464</x:v>
      </x:c>
      <x:c r="N924" s="133" t="n">
        <x:v>1.5873015873015872</x:v>
      </x:c>
      <x:c r="O924" s="133" t="n">
        <x:v>2</x:v>
      </x:c>
      <x:c r="P924" s="132"/>
    </x:row>
    <x:row r="925">
      <x:c r="A925" s="136" t="str">
        <x:v>01075030102</x:v>
      </x:c>
      <x:c r="B925" s="132" t="str">
        <x:v>Lamar County</x:v>
      </x:c>
      <x:c r="C925" s="132" t="n">
        <x:v>0</x:v>
      </x:c>
      <x:c r="D925" s="134" t="n">
        <x:v>2211</x:v>
      </x:c>
      <x:c r="E925" s="133" t="n">
        <x:v>19.8</x:v>
      </x:c>
      <x:c r="F925" s="134" t="n">
        <x:v>1139</x:v>
      </x:c>
      <x:c r="G925" s="134" t="n">
        <x:v>0</x:v>
      </x:c>
      <x:c r="H925" s="134" t="n">
        <x:v>64</x:v>
      </x:c>
      <x:c r="I925" s="134" t="n">
        <x:v>33</x:v>
      </x:c>
      <x:c r="J925" s="133" t="n">
        <x:v>2.8946178199909545</x:v>
      </x:c>
      <x:c r="K925" s="133" t="n">
        <x:v>2.8972783143107987</x:v>
      </x:c>
      <x:c r="L925" s="133" t="n">
        <x:v>2.9411764705882355</x:v>
      </x:c>
      <x:c r="M925" s="133" t="n">
        <x:v>2.803738317757009</x:v>
      </x:c>
      <x:c r="N925" s="133" t="n">
        <x:v>3.4482758620689653</x:v>
      </x:c>
      <x:c r="O925" s="133" t="n">
        <x:v>2.7777777777777777</x:v>
      </x:c>
      <x:c r="P925" s="132"/>
    </x:row>
    <x:row r="926">
      <x:c r="A926" s="136" t="str">
        <x:v>01077010901</x:v>
      </x:c>
      <x:c r="B926" s="132" t="str">
        <x:v>Lauderdale County</x:v>
      </x:c>
      <x:c r="C926" s="132" t="n">
        <x:v>1</x:v>
      </x:c>
      <x:c r="D926" s="134" t="n">
        <x:v>3695</x:v>
      </x:c>
      <x:c r="E926" s="133" t="n">
        <x:v>14.4</x:v>
      </x:c>
      <x:c r="F926" s="134" t="n">
        <x:v>2104</x:v>
      </x:c>
      <x:c r="G926" s="134" t="n">
        <x:v>0</x:v>
      </x:c>
      <x:c r="H926" s="134" t="n">
        <x:v>59</x:v>
      </x:c>
      <x:c r="I926" s="134" t="n">
        <x:v>34</x:v>
      </x:c>
      <x:c r="J926" s="133" t="n">
        <x:v>1.5967523680649527</x:v>
      </x:c>
      <x:c r="K926" s="133" t="n">
        <x:v>1.6159695817490494</x:v>
      </x:c>
      <x:c r="L926" s="133" t="n">
        <x:v>1.607717041800643</x:v>
      </x:c>
      <x:c r="M926" s="133" t="n">
        <x:v>1.565377532228361</x:v>
      </x:c>
      <x:c r="N926" s="133" t="n">
        <x:v>1.2195121951219512</x:v>
      </x:c>
      <x:c r="O926" s="133" t="n">
        <x:v>2.0202020202020203</x:v>
      </x:c>
      <x:c r="P926" s="132"/>
    </x:row>
    <x:row r="927">
      <x:c r="A927" s="136" t="str">
        <x:v>01077011200</x:v>
      </x:c>
      <x:c r="B927" s="132" t="str">
        <x:v>Lauderdale County</x:v>
      </x:c>
      <x:c r="C927" s="132" t="n">
        <x:v>0</x:v>
      </x:c>
      <x:c r="D927" s="134" t="n">
        <x:v>4089</x:v>
      </x:c>
      <x:c r="E927" s="133" t="n">
        <x:v>10.7</x:v>
      </x:c>
      <x:c r="F927" s="134" t="n">
        <x:v>2819</x:v>
      </x:c>
      <x:c r="G927" s="134" t="n">
        <x:v>0</x:v>
      </x:c>
      <x:c r="H927" s="134" t="n">
        <x:v>50</x:v>
      </x:c>
      <x:c r="I927" s="134" t="n">
        <x:v>34</x:v>
      </x:c>
      <x:c r="J927" s="133" t="n">
        <x:v>1.2227928588897041</x:v>
      </x:c>
      <x:c r="K927" s="133" t="n">
        <x:v>1.2061014544164597</x:v>
      </x:c>
      <x:c r="L927" s="133" t="n">
        <x:v>1.2062726176115801</x:v>
      </x:c>
      <x:c r="M927" s="133" t="n">
        <x:v>1.2415349887133182</x:v>
      </x:c>
      <x:c r="N927" s="133" t="n">
        <x:v>1.2195121951219512</x:v>
      </x:c>
      <x:c r="O927" s="133" t="n">
        <x:v>1.3333333333333333</x:v>
      </x:c>
      <x:c r="P927" s="132"/>
    </x:row>
    <x:row r="928">
      <x:c r="A928" s="136" t="str">
        <x:v>01089010101</x:v>
      </x:c>
      <x:c r="B928" s="132" t="str">
        <x:v>Madison County</x:v>
      </x:c>
      <x:c r="C928" s="132" t="n">
        <x:v>0</x:v>
      </x:c>
      <x:c r="D928" s="134" t="n">
        <x:v>4975</x:v>
      </x:c>
      <x:c r="E928" s="133" t="n">
        <x:v>17.2</x:v>
      </x:c>
      <x:c r="F928" s="134" t="n">
        <x:v>3207</x:v>
      </x:c>
      <x:c r="G928" s="134" t="n">
        <x:v>0</x:v>
      </x:c>
      <x:c r="H928" s="134" t="n">
        <x:v>52</x:v>
      </x:c>
      <x:c r="I928" s="134" t="n">
        <x:v>34</x:v>
      </x:c>
      <x:c r="J928" s="133" t="n">
        <x:v>1.0452261306532664</x:v>
      </x:c>
      <x:c r="K928" s="133" t="n">
        <x:v>1.0601808543810414</x:v>
      </x:c>
      <x:c r="L928" s="133" t="n">
        <x:v>1.0516252390057361</x:v>
      </x:c>
      <x:c r="M928" s="133" t="n">
        <x:v>1.0638297872340425</x:v>
      </x:c>
      <x:c r="N928" s="133" t="n">
        <x:v>0.7352941176470589</x:v>
      </x:c>
      <x:c r="O928" s="133" t="n">
        <x:v>1.1560693641618498</x:v>
      </x:c>
      <x:c r="P928" s="132"/>
    </x:row>
    <x:row r="929">
      <x:c r="A929" s="136" t="str">
        <x:v>01001021000</x:v>
      </x:c>
      <x:c r="B929" s="132" t="str">
        <x:v>Autauga County</x:v>
      </x:c>
      <x:c r="C929" s="132" t="n">
        <x:v>0</x:v>
      </x:c>
      <x:c r="D929" s="134" t="n">
        <x:v>2645</x:v>
      </x:c>
      <x:c r="E929" s="133" t="n">
        <x:v>19.7</x:v>
      </x:c>
      <x:c r="F929" s="134" t="n">
        <x:v>1912</x:v>
      </x:c>
      <x:c r="G929" s="134" t="n">
        <x:v>0</x:v>
      </x:c>
      <x:c r="H929" s="134" t="n">
        <x:v>49</x:v>
      </x:c>
      <x:c r="I929" s="134" t="n">
        <x:v>35</x:v>
      </x:c>
      <x:c r="J929" s="133" t="n">
        <x:v>1.8525519848771266</x:v>
      </x:c>
      <x:c r="K929" s="133" t="n">
        <x:v>1.8305439330543933</x:v>
      </x:c>
      <x:c r="L929" s="133" t="n">
        <x:v>1.839464882943144</x:v>
      </x:c>
      <x:c r="M929" s="133" t="n">
        <x:v>1.7621145374449338</x:v>
      </x:c>
      <x:c r="N929" s="133" t="n">
        <x:v>0</x:v>
      </x:c>
      <x:c r="O929" s="133" t="n">
        <x:v>1.2820512820512822</x:v>
      </x:c>
      <x:c r="P929" s="132"/>
    </x:row>
    <x:row r="930">
      <x:c r="A930" s="136" t="str">
        <x:v>01005950200</x:v>
      </x:c>
      <x:c r="B930" s="132" t="str">
        <x:v>Barbour County</x:v>
      </x:c>
      <x:c r="C930" s="132" t="n">
        <x:v>0</x:v>
      </x:c>
      <x:c r="D930" s="134" t="n">
        <x:v>3363</x:v>
      </x:c>
      <x:c r="E930" s="133" t="n">
        <x:v>25.9</x:v>
      </x:c>
      <x:c r="F930" s="134" t="n">
        <x:v>1093</x:v>
      </x:c>
      <x:c r="G930" s="134" t="n">
        <x:v>0</x:v>
      </x:c>
      <x:c r="H930" s="134" t="n">
        <x:v>109</x:v>
      </x:c>
      <x:c r="I930" s="134" t="n">
        <x:v>35</x:v>
      </x:c>
      <x:c r="J930" s="133" t="n">
        <x:v>3.2411537317870946</x:v>
      </x:c>
      <x:c r="K930" s="133" t="n">
        <x:v>3.202195791399817</x:v>
      </x:c>
      <x:c r="L930" s="133" t="n">
        <x:v>3.203661327231121</x:v>
      </x:c>
      <x:c r="M930" s="133" t="n">
        <x:v>3.292894280762565</x:v>
      </x:c>
      <x:c r="N930" s="133" t="n">
        <x:v>3.3112582781456954</x:v>
      </x:c>
      <x:c r="O930" s="133" t="n">
        <x:v>3.1914893617021276</x:v>
      </x:c>
      <x:c r="P930" s="132"/>
    </x:row>
    <x:row r="931">
      <x:c r="A931" s="136" t="str">
        <x:v>01033020300</x:v>
      </x:c>
      <x:c r="B931" s="132" t="str">
        <x:v>Colbert County</x:v>
      </x:c>
      <x:c r="C931" s="132" t="n">
        <x:v>1</x:v>
      </x:c>
      <x:c r="D931" s="134" t="n">
        <x:v>2273</x:v>
      </x:c>
      <x:c r="E931" s="133" t="n">
        <x:v>52.1</x:v>
      </x:c>
      <x:c r="F931" s="134" t="n">
        <x:v>642</x:v>
      </x:c>
      <x:c r="G931" s="134" t="n">
        <x:v>0</x:v>
      </x:c>
      <x:c r="H931" s="134" t="n">
        <x:v>123</x:v>
      </x:c>
      <x:c r="I931" s="134" t="n">
        <x:v>35</x:v>
      </x:c>
      <x:c r="J931" s="133" t="n">
        <x:v>5.411350637923449</x:v>
      </x:c>
      <x:c r="K931" s="133" t="n">
        <x:v>5.451713395638629</x:v>
      </x:c>
      <x:c r="L931" s="133" t="n">
        <x:v>5.380333951762523</x:v>
      </x:c>
      <x:c r="M931" s="133" t="n">
        <x:v>5.5</x:v>
      </x:c>
      <x:c r="N931" s="133" t="n">
        <x:v>5.882352941176471</x:v>
      </x:c>
      <x:c r="O931" s="133" t="n">
        <x:v>5.5813953488372094</x:v>
      </x:c>
      <x:c r="P931" s="132"/>
    </x:row>
    <x:row r="932">
      <x:c r="A932" s="136" t="str">
        <x:v>01049961400</x:v>
      </x:c>
      <x:c r="B932" s="132" t="str">
        <x:v>DeKalb County</x:v>
      </x:c>
      <x:c r="C932" s="132" t="n">
        <x:v>0</x:v>
      </x:c>
      <x:c r="D932" s="134" t="n">
        <x:v>4216</x:v>
      </x:c>
      <x:c r="E932" s="133" t="n">
        <x:v>20.2</x:v>
      </x:c>
      <x:c r="F932" s="134" t="n">
        <x:v>1822</x:v>
      </x:c>
      <x:c r="G932" s="134" t="n">
        <x:v>0</x:v>
      </x:c>
      <x:c r="H932" s="134" t="n">
        <x:v>80</x:v>
      </x:c>
      <x:c r="I932" s="134" t="n">
        <x:v>35</x:v>
      </x:c>
      <x:c r="J932" s="133" t="n">
        <x:v>1.8975332068311195</x:v>
      </x:c>
      <x:c r="K932" s="133" t="n">
        <x:v>1.920965971459934</x:v>
      </x:c>
      <x:c r="L932" s="133" t="n">
        <x:v>1.9562715765247412</x:v>
      </x:c>
      <x:c r="M932" s="133" t="n">
        <x:v>1.9076305220883534</x:v>
      </x:c>
      <x:c r="N932" s="133" t="n">
        <x:v>1.6129032258064515</x:v>
      </x:c>
      <x:c r="O932" s="133" t="n">
        <x:v>2.0408163265306123</x:v>
      </x:c>
      <x:c r="P932" s="132"/>
    </x:row>
    <x:row r="933">
      <x:c r="A933" s="136" t="str">
        <x:v>01073013801</x:v>
      </x:c>
      <x:c r="B933" s="132" t="str">
        <x:v>Jefferson County</x:v>
      </x:c>
      <x:c r="C933" s="132" t="n">
        <x:v>1</x:v>
      </x:c>
      <x:c r="D933" s="134" t="n">
        <x:v>1907</x:v>
      </x:c>
      <x:c r="E933" s="133" t="n">
        <x:v>30.2</x:v>
      </x:c>
      <x:c r="F933" s="134" t="n">
        <x:v>660</x:v>
      </x:c>
      <x:c r="G933" s="134" t="n">
        <x:v>0</x:v>
      </x:c>
      <x:c r="H933" s="134" t="n">
        <x:v>100</x:v>
      </x:c>
      <x:c r="I933" s="134" t="n">
        <x:v>35</x:v>
      </x:c>
      <x:c r="J933" s="133" t="n">
        <x:v>5.243838489774515</x:v>
      </x:c>
      <x:c r="K933" s="133" t="n">
        <x:v>5.303030303030303</x:v>
      </x:c>
      <x:c r="L933" s="133" t="n">
        <x:v>5.275779376498801</x:v>
      </x:c>
      <x:c r="M933" s="133" t="n">
        <x:v>5.322128851540616</x:v>
      </x:c>
      <x:c r="N933" s="133" t="n">
        <x:v>5</x:v>
      </x:c>
      <x:c r="O933" s="133" t="n">
        <x:v>5.0359712230215825</x:v>
      </x:c>
      <x:c r="P933" s="132"/>
    </x:row>
    <x:row r="934">
      <x:c r="A934" s="136" t="str">
        <x:v>01125010303</x:v>
      </x:c>
      <x:c r="B934" s="132" t="str">
        <x:v>Tuscaloosa County</x:v>
      </x:c>
      <x:c r="C934" s="132" t="n">
        <x:v>0</x:v>
      </x:c>
      <x:c r="D934" s="134" t="n">
        <x:v>3776</x:v>
      </x:c>
      <x:c r="E934" s="133" t="n">
        <x:v>6.1</x:v>
      </x:c>
      <x:c r="F934" s="134" t="n">
        <x:v>2545</x:v>
      </x:c>
      <x:c r="G934" s="134" t="n">
        <x:v>0</x:v>
      </x:c>
      <x:c r="H934" s="134" t="n">
        <x:v>52</x:v>
      </x:c>
      <x:c r="I934" s="134" t="n">
        <x:v>35</x:v>
      </x:c>
      <x:c r="J934" s="133" t="n">
        <x:v>1.3771186440677967</x:v>
      </x:c>
      <x:c r="K934" s="133" t="n">
        <x:v>1.37524557956778</x:v>
      </x:c>
      <x:c r="L934" s="133" t="n">
        <x:v>1.3301088270858525</x:v>
      </x:c>
      <x:c r="M934" s="133" t="n">
        <x:v>1.4240506329113924</x:v>
      </x:c>
      <x:c r="N934" s="133" t="n">
        <x:v>0</x:v>
      </x:c>
      <x:c r="O934" s="133" t="n">
        <x:v>2.0408163265306123</x:v>
      </x:c>
      <x:c r="P934" s="132"/>
    </x:row>
    <x:row r="935">
      <x:c r="A935" s="136" t="str">
        <x:v>01023957000</x:v>
      </x:c>
      <x:c r="B935" s="132" t="str">
        <x:v>Choctaw County</x:v>
      </x:c>
      <x:c r="C935" s="132" t="n">
        <x:v>0</x:v>
      </x:c>
      <x:c r="D935" s="134" t="n">
        <x:v>2079</x:v>
      </x:c>
      <x:c r="E935" s="133" t="n">
        <x:v>12.2</x:v>
      </x:c>
      <x:c r="F935" s="134" t="n">
        <x:v>1668</x:v>
      </x:c>
      <x:c r="G935" s="134" t="n">
        <x:v>0</x:v>
      </x:c>
      <x:c r="H935" s="134" t="n">
        <x:v>45</x:v>
      </x:c>
      <x:c r="I935" s="134" t="n">
        <x:v>36</x:v>
      </x:c>
      <x:c r="J935" s="133" t="n">
        <x:v>2.1645021645021645</x:v>
      </x:c>
      <x:c r="K935" s="133" t="n">
        <x:v>2.158273381294964</x:v>
      </x:c>
      <x:c r="L935" s="133" t="n">
        <x:v>2.2222222222222223</x:v>
      </x:c>
      <x:c r="M935" s="133" t="n">
        <x:v>2.0930232558139537</x:v>
      </x:c>
      <x:c r="N935" s="133" t="n">
        <x:v>1.639344262295082</x:v>
      </x:c>
      <x:c r="O935" s="133" t="n">
        <x:v>2.4096385542168677</x:v>
      </x:c>
      <x:c r="P935" s="132"/>
    </x:row>
    <x:row r="936">
      <x:c r="A936" s="136" t="str">
        <x:v>01097006407</x:v>
      </x:c>
      <x:c r="B936" s="132" t="str">
        <x:v>Mobile County</x:v>
      </x:c>
      <x:c r="C936" s="132" t="n">
        <x:v>0</x:v>
      </x:c>
      <x:c r="D936" s="134" t="n">
        <x:v>6959</x:v>
      </x:c>
      <x:c r="E936" s="133" t="n">
        <x:v>1.8</x:v>
      </x:c>
      <x:c r="F936" s="134" t="n">
        <x:v>6519</x:v>
      </x:c>
      <x:c r="G936" s="134" t="n">
        <x:v>0</x:v>
      </x:c>
      <x:c r="H936" s="134" t="n">
        <x:v>38</x:v>
      </x:c>
      <x:c r="I936" s="134" t="n">
        <x:v>36</x:v>
      </x:c>
      <x:c r="J936" s="133" t="n">
        <x:v>0.5460554677396178</x:v>
      </x:c>
      <x:c r="K936" s="133" t="n">
        <x:v>0.5522319374137138</x:v>
      </x:c>
      <x:c r="L936" s="133" t="n">
        <x:v>0.5316007088009451</x:v>
      </x:c>
      <x:c r="M936" s="133" t="n">
        <x:v>0.5703422053231939</x:v>
      </x:c>
      <x:c r="N936" s="133" t="n">
        <x:v>0</x:v>
      </x:c>
      <x:c r="O936" s="133" t="n">
        <x:v>0.6410256410256411</x:v>
      </x:c>
      <x:c r="P936" s="132"/>
    </x:row>
    <x:row r="937">
      <x:c r="A937" s="136" t="str">
        <x:v>01117030900</x:v>
      </x:c>
      <x:c r="B937" s="132" t="str">
        <x:v>Shelby County</x:v>
      </x:c>
      <x:c r="C937" s="132" t="n">
        <x:v>0</x:v>
      </x:c>
      <x:c r="D937" s="134" t="n">
        <x:v>2557</x:v>
      </x:c>
      <x:c r="E937" s="133" t="n">
        <x:v>19.9</x:v>
      </x:c>
      <x:c r="F937" s="134" t="n">
        <x:v>1680</x:v>
      </x:c>
      <x:c r="G937" s="134" t="n">
        <x:v>0</x:v>
      </x:c>
      <x:c r="H937" s="134" t="n">
        <x:v>56</x:v>
      </x:c>
      <x:c r="I937" s="134" t="n">
        <x:v>36</x:v>
      </x:c>
      <x:c r="J937" s="133" t="n">
        <x:v>2.190066484161126</x:v>
      </x:c>
      <x:c r="K937" s="133" t="n">
        <x:v>2.142857142857143</x:v>
      </x:c>
      <x:c r="L937" s="133" t="n">
        <x:v>2.161100196463654</x:v>
      </x:c>
      <x:c r="M937" s="133" t="n">
        <x:v>2.2018348623853212</x:v>
      </x:c>
      <x:c r="N937" s="133" t="n">
        <x:v>2.3255813953488373</x:v>
      </x:c>
      <x:c r="O937" s="133" t="n">
        <x:v>2.4096385542168677</x:v>
      </x:c>
      <x:c r="P937" s="132"/>
    </x:row>
    <x:row r="938">
      <x:c r="A938" s="136" t="str">
        <x:v>01119011600</x:v>
      </x:c>
      <x:c r="B938" s="132" t="str">
        <x:v>Sumter County</x:v>
      </x:c>
      <x:c r="C938" s="132" t="n">
        <x:v>0</x:v>
      </x:c>
      <x:c r="D938" s="134" t="n">
        <x:v>1004</x:v>
      </x:c>
      <x:c r="E938" s="133" t="n">
        <x:v>27.5</x:v>
      </x:c>
      <x:c r="F938" s="134" t="n">
        <x:v>580</x:v>
      </x:c>
      <x:c r="G938" s="134" t="n">
        <x:v>0</x:v>
      </x:c>
      <x:c r="H938" s="134" t="n">
        <x:v>62</x:v>
      </x:c>
      <x:c r="I938" s="134" t="n">
        <x:v>36</x:v>
      </x:c>
      <x:c r="J938" s="133" t="n">
        <x:v>6.175298804780876</x:v>
      </x:c>
      <x:c r="K938" s="133" t="n">
        <x:v>6.206896551724138</x:v>
      </x:c>
      <x:c r="L938" s="133" t="n">
        <x:v>6</x:v>
      </x:c>
      <x:c r="M938" s="133" t="n">
        <x:v>6.106870229007634</x:v>
      </x:c>
      <x:c r="N938" s="133" t="n">
        <x:v>5.555555555555555</x:v>
      </x:c>
      <x:c r="O938" s="133" t="n">
        <x:v>6.382978723404255</x:v>
      </x:c>
      <x:c r="P938" s="132"/>
    </x:row>
    <x:row r="939">
      <x:c r="A939" s="136" t="str">
        <x:v>01027959200</x:v>
      </x:c>
      <x:c r="B939" s="132" t="str">
        <x:v>Clay County</x:v>
      </x:c>
      <x:c r="C939" s="132" t="n">
        <x:v>0</x:v>
      </x:c>
      <x:c r="D939" s="134" t="n">
        <x:v>2462</x:v>
      </x:c>
      <x:c r="E939" s="133" t="n">
        <x:v>7.1</x:v>
      </x:c>
      <x:c r="F939" s="134" t="n">
        <x:v>1660</x:v>
      </x:c>
      <x:c r="G939" s="134" t="n">
        <x:v>0</x:v>
      </x:c>
      <x:c r="H939" s="134" t="n">
        <x:v>55</x:v>
      </x:c>
      <x:c r="I939" s="134" t="n">
        <x:v>37</x:v>
      </x:c>
      <x:c r="J939" s="133" t="n">
        <x:v>2.2339561332250204</x:v>
      </x:c>
      <x:c r="K939" s="133" t="n">
        <x:v>2.2289156626506026</x:v>
      </x:c>
      <x:c r="L939" s="133" t="n">
        <x:v>2.2964509394572024</x:v>
      </x:c>
      <x:c r="M939" s="133" t="n">
        <x:v>2.2821576763485476</x:v>
      </x:c>
      <x:c r="N939" s="133" t="n">
        <x:v>0</x:v>
      </x:c>
      <x:c r="O939" s="133" t="n">
        <x:v>1.694915254237288</x:v>
      </x:c>
      <x:c r="P939" s="132"/>
    </x:row>
    <x:row r="940">
      <x:c r="A940" s="136" t="str">
        <x:v>01077011000</x:v>
      </x:c>
      <x:c r="B940" s="132" t="str">
        <x:v>Lauderdale County</x:v>
      </x:c>
      <x:c r="C940" s="132" t="n">
        <x:v>1</x:v>
      </x:c>
      <x:c r="D940" s="134" t="n">
        <x:v>4483</x:v>
      </x:c>
      <x:c r="E940" s="133" t="n">
        <x:v>20.9</x:v>
      </x:c>
      <x:c r="F940" s="134" t="n">
        <x:v>2634</x:v>
      </x:c>
      <x:c r="G940" s="134" t="n">
        <x:v>0</x:v>
      </x:c>
      <x:c r="H940" s="134" t="n">
        <x:v>62</x:v>
      </x:c>
      <x:c r="I940" s="134" t="n">
        <x:v>37</x:v>
      </x:c>
      <x:c r="J940" s="133" t="n">
        <x:v>1.3830024537140309</x:v>
      </x:c>
      <x:c r="K940" s="133" t="n">
        <x:v>1.404707668944571</x:v>
      </x:c>
      <x:c r="L940" s="133" t="n">
        <x:v>1.408450704225352</x:v>
      </x:c>
      <x:c r="M940" s="133" t="n">
        <x:v>1.4035087719298245</x:v>
      </x:c>
      <x:c r="N940" s="133" t="n">
        <x:v>1.4981273408239701</x:v>
      </x:c>
      <x:c r="O940" s="133" t="n">
        <x:v>1.3793103448275863</x:v>
      </x:c>
      <x:c r="P940" s="132"/>
    </x:row>
    <x:row r="941">
      <x:c r="A941" s="136" t="str">
        <x:v>01099075901</x:v>
      </x:c>
      <x:c r="B941" s="132" t="str">
        <x:v>Monroe County</x:v>
      </x:c>
      <x:c r="C941" s="132" t="n">
        <x:v>0</x:v>
      </x:c>
      <x:c r="D941" s="134" t="n">
        <x:v>3170</x:v>
      </x:c>
      <x:c r="E941" s="133" t="n">
        <x:v>26.5</x:v>
      </x:c>
      <x:c r="F941" s="134" t="n">
        <x:v>1541</x:v>
      </x:c>
      <x:c r="G941" s="134" t="n">
        <x:v>0</x:v>
      </x:c>
      <x:c r="H941" s="134" t="n">
        <x:v>77</x:v>
      </x:c>
      <x:c r="I941" s="134" t="n">
        <x:v>37</x:v>
      </x:c>
      <x:c r="J941" s="133" t="n">
        <x:v>2.4290220820189274</x:v>
      </x:c>
      <x:c r="K941" s="133" t="n">
        <x:v>2.401038286826736</x:v>
      </x:c>
      <x:c r="L941" s="133" t="n">
        <x:v>2.4096385542168677</x:v>
      </x:c>
      <x:c r="M941" s="133" t="n">
        <x:v>2.388535031847134</x:v>
      </x:c>
      <x:c r="N941" s="133" t="n">
        <x:v>2.5641025641025643</x:v>
      </x:c>
      <x:c r="O941" s="133" t="n">
        <x:v>2.6548672566371683</x:v>
      </x:c>
      <x:c r="P941" s="132"/>
    </x:row>
    <x:row r="942">
      <x:c r="A942" s="136" t="str">
        <x:v>01105687002</x:v>
      </x:c>
      <x:c r="B942" s="132" t="str">
        <x:v>Perry County</x:v>
      </x:c>
      <x:c r="C942" s="132" t="n">
        <x:v>0</x:v>
      </x:c>
      <x:c r="D942" s="134" t="n">
        <x:v>3563</x:v>
      </x:c>
      <x:c r="E942" s="133" t="n">
        <x:v>21</x:v>
      </x:c>
      <x:c r="F942" s="134" t="n">
        <x:v>1173</x:v>
      </x:c>
      <x:c r="G942" s="134" t="n">
        <x:v>0</x:v>
      </x:c>
      <x:c r="H942" s="134" t="n">
        <x:v>112</x:v>
      </x:c>
      <x:c r="I942" s="134" t="n">
        <x:v>37</x:v>
      </x:c>
      <x:c r="J942" s="133" t="n">
        <x:v>3.143418467583497</x:v>
      </x:c>
      <x:c r="K942" s="133" t="n">
        <x:v>3.154305200341006</x:v>
      </x:c>
      <x:c r="L942" s="133" t="n">
        <x:v>3.0985915492957745</x:v>
      </x:c>
      <x:c r="M942" s="133" t="n">
        <x:v>3.1963470319634704</x:v>
      </x:c>
      <x:c r="N942" s="133" t="n">
        <x:v>2.727272727272727</x:v>
      </x:c>
      <x:c r="O942" s="133" t="n">
        <x:v>3.117505995203837</x:v>
      </x:c>
      <x:c r="P942" s="132"/>
    </x:row>
    <x:row r="943">
      <x:c r="A943" s="136" t="str">
        <x:v>01127021600</x:v>
      </x:c>
      <x:c r="B943" s="132" t="str">
        <x:v>Walker County</x:v>
      </x:c>
      <x:c r="C943" s="132" t="n">
        <x:v>0</x:v>
      </x:c>
      <x:c r="D943" s="134" t="n">
        <x:v>1668</x:v>
      </x:c>
      <x:c r="E943" s="133" t="n">
        <x:v>14.2</x:v>
      </x:c>
      <x:c r="F943" s="134" t="n">
        <x:v>937</x:v>
      </x:c>
      <x:c r="G943" s="134" t="n">
        <x:v>0</x:v>
      </x:c>
      <x:c r="H943" s="134" t="n">
        <x:v>66</x:v>
      </x:c>
      <x:c r="I943" s="134" t="n">
        <x:v>37</x:v>
      </x:c>
      <x:c r="J943" s="133" t="n">
        <x:v>3.9568345323741005</x:v>
      </x:c>
      <x:c r="K943" s="133" t="n">
        <x:v>3.9487726787620065</x:v>
      </x:c>
      <x:c r="L943" s="133" t="n">
        <x:v>3.883495145631068</x:v>
      </x:c>
      <x:c r="M943" s="133" t="n">
        <x:v>3.812316715542522</x:v>
      </x:c>
      <x:c r="N943" s="133" t="n">
        <x:v>3.4482758620689653</x:v>
      </x:c>
      <x:c r="O943" s="133" t="n">
        <x:v>4.545454545454546</x:v>
      </x:c>
      <x:c r="P943" s="132"/>
    </x:row>
    <x:row r="944">
      <x:c r="A944" s="136" t="str">
        <x:v>01033020200</x:v>
      </x:c>
      <x:c r="B944" s="132" t="str">
        <x:v>Colbert County</x:v>
      </x:c>
      <x:c r="C944" s="132" t="n">
        <x:v>1</x:v>
      </x:c>
      <x:c r="D944" s="134" t="n">
        <x:v>1883</x:v>
      </x:c>
      <x:c r="E944" s="133" t="n">
        <x:v>16.9</x:v>
      </x:c>
      <x:c r="F944" s="134" t="n">
        <x:v>1323</x:v>
      </x:c>
      <x:c r="G944" s="134" t="n">
        <x:v>0</x:v>
      </x:c>
      <x:c r="H944" s="134" t="n">
        <x:v>55</x:v>
      </x:c>
      <x:c r="I944" s="134" t="n">
        <x:v>38</x:v>
      </x:c>
      <x:c r="J944" s="133" t="n">
        <x:v>2.9208709506107278</x:v>
      </x:c>
      <x:c r="K944" s="133" t="n">
        <x:v>2.872260015117158</x:v>
      </x:c>
      <x:c r="L944" s="133" t="n">
        <x:v>2.989130434782609</x:v>
      </x:c>
      <x:c r="M944" s="133" t="n">
        <x:v>2.769230769230769</x:v>
      </x:c>
      <x:c r="N944" s="133" t="n">
        <x:v>2.5316455696202533</x:v>
      </x:c>
      <x:c r="O944" s="133" t="n">
        <x:v>2.8776978417266186</x:v>
      </x:c>
      <x:c r="P944" s="132"/>
    </x:row>
    <x:row r="945">
      <x:c r="A945" s="136" t="str">
        <x:v>01005950300</x:v>
      </x:c>
      <x:c r="B945" s="132" t="str">
        <x:v>Barbour County</x:v>
      </x:c>
      <x:c r="C945" s="132" t="n">
        <x:v>0</x:v>
      </x:c>
      <x:c r="D945" s="134" t="n">
        <x:v>1370</x:v>
      </x:c>
      <x:c r="E945" s="133" t="n">
        <x:v>11.9</x:v>
      </x:c>
      <x:c r="F945" s="134" t="n">
        <x:v>962</x:v>
      </x:c>
      <x:c r="G945" s="134" t="n">
        <x:v>0</x:v>
      </x:c>
      <x:c r="H945" s="134" t="n">
        <x:v>56</x:v>
      </x:c>
      <x:c r="I945" s="134" t="n">
        <x:v>39</x:v>
      </x:c>
      <x:c r="J945" s="133" t="n">
        <x:v>4.087591240875913</x:v>
      </x:c>
      <x:c r="K945" s="133" t="n">
        <x:v>4.054054054054054</x:v>
      </x:c>
      <x:c r="L945" s="133" t="n">
        <x:v>4.081632653061225</x:v>
      </x:c>
      <x:c r="M945" s="133" t="n">
        <x:v>4.102564102564102</x:v>
      </x:c>
      <x:c r="N945" s="133" t="n">
        <x:v>4.166666666666667</x:v>
      </x:c>
      <x:c r="O945" s="133" t="n">
        <x:v>3.7037037037037037</x:v>
      </x:c>
      <x:c r="P945" s="132"/>
    </x:row>
    <x:row r="946">
      <x:c r="A946" s="136" t="str">
        <x:v>01093964500</x:v>
      </x:c>
      <x:c r="B946" s="132" t="str">
        <x:v>Marion County</x:v>
      </x:c>
      <x:c r="C946" s="132" t="n">
        <x:v>0</x:v>
      </x:c>
      <x:c r="D946" s="134" t="n">
        <x:v>1954</x:v>
      </x:c>
      <x:c r="E946" s="133" t="n">
        <x:v>19.1</x:v>
      </x:c>
      <x:c r="F946" s="134" t="n">
        <x:v>1060</x:v>
      </x:c>
      <x:c r="G946" s="134" t="n">
        <x:v>0</x:v>
      </x:c>
      <x:c r="H946" s="134" t="n">
        <x:v>72</x:v>
      </x:c>
      <x:c r="I946" s="134" t="n">
        <x:v>39</x:v>
      </x:c>
      <x:c r="J946" s="133" t="n">
        <x:v>3.68474923234391</x:v>
      </x:c>
      <x:c r="K946" s="133" t="n">
        <x:v>3.6792452830188678</x:v>
      </x:c>
      <x:c r="L946" s="133" t="n">
        <x:v>3.794037940379404</x:v>
      </x:c>
      <x:c r="M946" s="133" t="n">
        <x:v>3.7122969837587005</x:v>
      </x:c>
      <x:c r="N946" s="133" t="n">
        <x:v>4.444444444444445</x:v>
      </x:c>
      <x:c r="O946" s="133" t="n">
        <x:v>3.7656903765690375</x:v>
      </x:c>
      <x:c r="P946" s="132"/>
    </x:row>
    <x:row r="947">
      <x:c r="A947" s="136" t="str">
        <x:v>01073003500</x:v>
      </x:c>
      <x:c r="B947" s="132" t="str">
        <x:v>Jefferson County</x:v>
      </x:c>
      <x:c r="C947" s="132" t="n">
        <x:v>1</x:v>
      </x:c>
      <x:c r="D947" s="134" t="n">
        <x:v>2206</x:v>
      </x:c>
      <x:c r="E947" s="133" t="n">
        <x:v>22.8</x:v>
      </x:c>
      <x:c r="F947" s="134" t="n">
        <x:v>906</x:v>
      </x:c>
      <x:c r="G947" s="134" t="n">
        <x:v>0</x:v>
      </x:c>
      <x:c r="H947" s="134" t="n">
        <x:v>101</x:v>
      </x:c>
      <x:c r="I947" s="134" t="n">
        <x:v>41</x:v>
      </x:c>
      <x:c r="J947" s="133" t="n">
        <x:v>4.57842248413418</x:v>
      </x:c>
      <x:c r="K947" s="133" t="n">
        <x:v>4.525386313465783</x:v>
      </x:c>
      <x:c r="L947" s="133" t="n">
        <x:v>4.587155963302752</x:v>
      </x:c>
      <x:c r="M947" s="133" t="n">
        <x:v>4.697986577181208</x:v>
      </x:c>
      <x:c r="N947" s="133" t="n">
        <x:v>4.37956204379562</x:v>
      </x:c>
      <x:c r="O947" s="133" t="n">
        <x:v>4.519774011299435</x:v>
      </x:c>
      <x:c r="P947" s="132"/>
    </x:row>
    <x:row r="948">
      <x:c r="A948" s="136" t="str">
        <x:v>01097005000</x:v>
      </x:c>
      <x:c r="B948" s="132" t="str">
        <x:v>Mobile County</x:v>
      </x:c>
      <x:c r="C948" s="132" t="n">
        <x:v>1</x:v>
      </x:c>
      <x:c r="D948" s="134" t="n">
        <x:v>1661</x:v>
      </x:c>
      <x:c r="E948" s="133" t="n">
        <x:v>28.1</x:v>
      </x:c>
      <x:c r="F948" s="134" t="n">
        <x:v>696</x:v>
      </x:c>
      <x:c r="G948" s="134" t="n">
        <x:v>0</x:v>
      </x:c>
      <x:c r="H948" s="134" t="n">
        <x:v>99</x:v>
      </x:c>
      <x:c r="I948" s="134" t="n">
        <x:v>41</x:v>
      </x:c>
      <x:c r="J948" s="133" t="n">
        <x:v>5.960264900662252</x:v>
      </x:c>
      <x:c r="K948" s="133" t="n">
        <x:v>5.890804597701149</x:v>
      </x:c>
      <x:c r="L948" s="133" t="n">
        <x:v>5.8690744920993225</x:v>
      </x:c>
      <x:c r="M948" s="133" t="n">
        <x:v>6.083650190114068</x:v>
      </x:c>
      <x:c r="N948" s="133" t="n">
        <x:v>0</x:v>
      </x:c>
      <x:c r="O948" s="133" t="n">
        <x:v>5.851063829787234</x:v>
      </x:c>
      <x:c r="P948" s="132"/>
    </x:row>
    <x:row r="949">
      <x:c r="A949" s="136" t="str">
        <x:v>01129044200</x:v>
      </x:c>
      <x:c r="B949" s="132" t="str">
        <x:v>Washington County</x:v>
      </x:c>
      <x:c r="C949" s="132" t="n">
        <x:v>0</x:v>
      </x:c>
      <x:c r="D949" s="134" t="n">
        <x:v>3610</x:v>
      </x:c>
      <x:c r="E949" s="133" t="n">
        <x:v>25.7</x:v>
      </x:c>
      <x:c r="F949" s="134" t="n">
        <x:v>2661</x:v>
      </x:c>
      <x:c r="G949" s="134" t="n">
        <x:v>0</x:v>
      </x:c>
      <x:c r="H949" s="134" t="n">
        <x:v>55</x:v>
      </x:c>
      <x:c r="I949" s="134" t="n">
        <x:v>41</x:v>
      </x:c>
      <x:c r="J949" s="133" t="n">
        <x:v>1.5235457063711912</x:v>
      </x:c>
      <x:c r="K949" s="133" t="n">
        <x:v>1.5407741450582488</x:v>
      </x:c>
      <x:c r="L949" s="133" t="n">
        <x:v>1.5132408575031526</x:v>
      </x:c>
      <x:c r="M949" s="133" t="n">
        <x:v>1.5174506828528074</x:v>
      </x:c>
      <x:c r="N949" s="133" t="n">
        <x:v>1.8181818181818181</x:v>
      </x:c>
      <x:c r="O949" s="133" t="n">
        <x:v>1.567398119122257</x:v>
      </x:c>
      <x:c r="P949" s="132"/>
    </x:row>
    <x:row r="950">
      <x:c r="A950" s="136" t="str">
        <x:v>01071950102</x:v>
      </x:c>
      <x:c r="B950" s="132" t="str">
        <x:v>Jackson County</x:v>
      </x:c>
      <x:c r="C950" s="132" t="n">
        <x:v>0</x:v>
      </x:c>
      <x:c r="D950" s="134" t="n">
        <x:v>3194</x:v>
      </x:c>
      <x:c r="E950" s="133" t="n">
        <x:v>18</x:v>
      </x:c>
      <x:c r="F950" s="134" t="n">
        <x:v>1562</x:v>
      </x:c>
      <x:c r="G950" s="134" t="n">
        <x:v>0</x:v>
      </x:c>
      <x:c r="H950" s="134" t="n">
        <x:v>87</x:v>
      </x:c>
      <x:c r="I950" s="134" t="n">
        <x:v>42</x:v>
      </x:c>
      <x:c r="J950" s="133" t="n">
        <x:v>2.7238572323105825</x:v>
      </x:c>
      <x:c r="K950" s="133" t="n">
        <x:v>2.6888604353393086</x:v>
      </x:c>
      <x:c r="L950" s="133" t="n">
        <x:v>2.727272727272727</x:v>
      </x:c>
      <x:c r="M950" s="133" t="n">
        <x:v>2.75974025974026</x:v>
      </x:c>
      <x:c r="N950" s="133" t="n">
        <x:v>2.5316455696202533</x:v>
      </x:c>
      <x:c r="O950" s="133" t="n">
        <x:v>3.076923076923077</x:v>
      </x:c>
      <x:c r="P950" s="132"/>
    </x:row>
    <x:row r="951">
      <x:c r="A951" s="136" t="str">
        <x:v>01089000503</x:v>
      </x:c>
      <x:c r="B951" s="132" t="str">
        <x:v>Madison County</x:v>
      </x:c>
      <x:c r="C951" s="132" t="n">
        <x:v>1</x:v>
      </x:c>
      <x:c r="D951" s="134" t="n">
        <x:v>1767</x:v>
      </x:c>
      <x:c r="E951" s="133" t="n">
        <x:v>14.8</x:v>
      </x:c>
      <x:c r="F951" s="134" t="n">
        <x:v>984</x:v>
      </x:c>
      <x:c r="G951" s="134" t="n">
        <x:v>0</x:v>
      </x:c>
      <x:c r="H951" s="134" t="n">
        <x:v>76</x:v>
      </x:c>
      <x:c r="I951" s="134" t="n">
        <x:v>42</x:v>
      </x:c>
      <x:c r="J951" s="133" t="n">
        <x:v>4.301075268817204</x:v>
      </x:c>
      <x:c r="K951" s="133" t="n">
        <x:v>4.2682926829268295</x:v>
      </x:c>
      <x:c r="L951" s="133" t="n">
        <x:v>4.37956204379562</x:v>
      </x:c>
      <x:c r="M951" s="133" t="n">
        <x:v>4.166666666666667</x:v>
      </x:c>
      <x:c r="N951" s="133" t="n">
        <x:v>4.123711340206185</x:v>
      </x:c>
      <x:c r="O951" s="133" t="n">
        <x:v>3.125</x:v>
      </x:c>
      <x:c r="P951" s="132"/>
    </x:row>
    <x:row r="952">
      <x:c r="A952" s="136" t="str">
        <x:v>01093964100</x:v>
      </x:c>
      <x:c r="B952" s="132" t="str">
        <x:v>Marion County</x:v>
      </x:c>
      <x:c r="C952" s="132" t="n">
        <x:v>0</x:v>
      </x:c>
      <x:c r="D952" s="134" t="n">
        <x:v>2609</x:v>
      </x:c>
      <x:c r="E952" s="133" t="n">
        <x:v>16.3</x:v>
      </x:c>
      <x:c r="F952" s="134" t="n">
        <x:v>1445</x:v>
      </x:c>
      <x:c r="G952" s="134" t="n">
        <x:v>0</x:v>
      </x:c>
      <x:c r="H952" s="134" t="n">
        <x:v>75</x:v>
      </x:c>
      <x:c r="I952" s="134" t="n">
        <x:v>42</x:v>
      </x:c>
      <x:c r="J952" s="133" t="n">
        <x:v>2.874664622460713</x:v>
      </x:c>
      <x:c r="K952" s="133" t="n">
        <x:v>2.906574394463668</x:v>
      </x:c>
      <x:c r="L952" s="133" t="n">
        <x:v>2.8469750889679717</x:v>
      </x:c>
      <x:c r="M952" s="133" t="n">
        <x:v>2.857142857142857</x:v>
      </x:c>
      <x:c r="N952" s="133" t="n">
        <x:v>3.4482758620689653</x:v>
      </x:c>
      <x:c r="O952" s="133" t="n">
        <x:v>2.7586206896551726</x:v>
      </x:c>
      <x:c r="P952" s="132"/>
    </x:row>
    <x:row r="953">
      <x:c r="A953" s="136" t="str">
        <x:v>01129044000</x:v>
      </x:c>
      <x:c r="B953" s="132" t="str">
        <x:v>Washington County</x:v>
      </x:c>
      <x:c r="C953" s="132" t="n">
        <x:v>0</x:v>
      </x:c>
      <x:c r="D953" s="134" t="n">
        <x:v>3744</x:v>
      </x:c>
      <x:c r="E953" s="133" t="n">
        <x:v>9.3</x:v>
      </x:c>
      <x:c r="F953" s="134" t="n">
        <x:v>2721</x:v>
      </x:c>
      <x:c r="G953" s="134" t="n">
        <x:v>0</x:v>
      </x:c>
      <x:c r="H953" s="134" t="n">
        <x:v>57</x:v>
      </x:c>
      <x:c r="I953" s="134" t="n">
        <x:v>42</x:v>
      </x:c>
      <x:c r="J953" s="133" t="n">
        <x:v>1.5224358974358974</x:v>
      </x:c>
      <x:c r="K953" s="133" t="n">
        <x:v>1.543550165380375</x:v>
      </x:c>
      <x:c r="L953" s="133" t="n">
        <x:v>1.5738498789346247</x:v>
      </x:c>
      <x:c r="M953" s="133" t="n">
        <x:v>1.5513126491646778</x:v>
      </x:c>
      <x:c r="N953" s="133" t="n">
        <x:v>1.5384615384615385</x:v>
      </x:c>
      <x:c r="O953" s="133" t="n">
        <x:v>1.941747572815534</x:v>
      </x:c>
      <x:c r="P953" s="132"/>
    </x:row>
    <x:row r="954">
      <x:c r="A954" s="136" t="str">
        <x:v>01015002101</x:v>
      </x:c>
      <x:c r="B954" s="132" t="str">
        <x:v>Calhoun County</x:v>
      </x:c>
      <x:c r="C954" s="132" t="n">
        <x:v>1</x:v>
      </x:c>
      <x:c r="D954" s="134" t="n">
        <x:v>5300</x:v>
      </x:c>
      <x:c r="E954" s="133" t="n">
        <x:v>51.4</x:v>
      </x:c>
      <x:c r="F954" s="134" t="n">
        <x:v>534</x:v>
      </x:c>
      <x:c r="G954" s="134" t="n">
        <x:v>0</x:v>
      </x:c>
      <x:c r="H954" s="134" t="n">
        <x:v>429</x:v>
      </x:c>
      <x:c r="I954" s="134" t="n">
        <x:v>43</x:v>
      </x:c>
      <x:c r="J954" s="133" t="n">
        <x:v>8.09433962264151</x:v>
      </x:c>
      <x:c r="K954" s="133" t="n">
        <x:v>8.05243445692884</x:v>
      </x:c>
      <x:c r="L954" s="133" t="n">
        <x:v>8.21256038647343</x:v>
      </x:c>
      <x:c r="M954" s="133" t="n">
        <x:v>8.13953488372093</x:v>
      </x:c>
      <x:c r="N954" s="133" t="n">
        <x:v>8.256880733944953</x:v>
      </x:c>
      <x:c r="O954" s="133" t="n">
        <x:v>8.15450643776824</x:v>
      </x:c>
      <x:c r="P954" s="132"/>
    </x:row>
    <x:row r="955">
      <x:c r="A955" s="136" t="str">
        <x:v>01073010302</x:v>
      </x:c>
      <x:c r="B955" s="132" t="str">
        <x:v>Jefferson County</x:v>
      </x:c>
      <x:c r="C955" s="132" t="n">
        <x:v>1</x:v>
      </x:c>
      <x:c r="D955" s="134" t="n">
        <x:v>3870</x:v>
      </x:c>
      <x:c r="E955" s="133" t="n">
        <x:v>50.7</x:v>
      </x:c>
      <x:c r="F955" s="134" t="n">
        <x:v>898</x:v>
      </x:c>
      <x:c r="G955" s="134" t="n">
        <x:v>0</x:v>
      </x:c>
      <x:c r="H955" s="134" t="n">
        <x:v>188</x:v>
      </x:c>
      <x:c r="I955" s="134" t="n">
        <x:v>44</x:v>
      </x:c>
      <x:c r="J955" s="133" t="n">
        <x:v>4.857881136950905</x:v>
      </x:c>
      <x:c r="K955" s="133" t="n">
        <x:v>4.8997772828507795</x:v>
      </x:c>
      <x:c r="L955" s="133" t="n">
        <x:v>4.857621440536013</x:v>
      </x:c>
      <x:c r="M955" s="133" t="n">
        <x:v>4.827586206896552</x:v>
      </x:c>
      <x:c r="N955" s="133" t="n">
        <x:v>4.838709677419355</x:v>
      </x:c>
      <x:c r="O955" s="133" t="n">
        <x:v>4.884667571234735</x:v>
      </x:c>
      <x:c r="P955" s="132"/>
    </x:row>
    <x:row r="956">
      <x:c r="A956" s="136" t="str">
        <x:v>01007010007</x:v>
      </x:c>
      <x:c r="B956" s="132" t="str">
        <x:v>Bibb County</x:v>
      </x:c>
      <x:c r="C956" s="132" t="n">
        <x:v>0</x:v>
      </x:c>
      <x:c r="D956" s="134" t="n">
        <x:v>2376</x:v>
      </x:c>
      <x:c r="E956" s="133" t="n">
        <x:v>7.3</x:v>
      </x:c>
      <x:c r="F956" s="134" t="n">
        <x:v>1478</x:v>
      </x:c>
      <x:c r="G956" s="134" t="n">
        <x:v>0</x:v>
      </x:c>
      <x:c r="H956" s="134" t="n">
        <x:v>73</x:v>
      </x:c>
      <x:c r="I956" s="134" t="n">
        <x:v>45</x:v>
      </x:c>
      <x:c r="J956" s="133" t="n">
        <x:v>3.0723905723905722</x:v>
      </x:c>
      <x:c r="K956" s="133" t="n">
        <x:v>3.044654939106901</x:v>
      </x:c>
      <x:c r="L956" s="133" t="n">
        <x:v>3.094777562862669</x:v>
      </x:c>
      <x:c r="M956" s="133" t="n">
        <x:v>3.0837004405286343</x:v>
      </x:c>
      <x:c r="N956" s="133" t="n">
        <x:v>3.5714285714285716</x:v>
      </x:c>
      <x:c r="O956" s="133" t="n">
        <x:v>2.7777777777777777</x:v>
      </x:c>
      <x:c r="P956" s="132"/>
    </x:row>
    <x:row r="957">
      <x:c r="A957" s="136" t="str">
        <x:v>01125010707</x:v>
      </x:c>
      <x:c r="B957" s="132" t="str">
        <x:v>Tuscaloosa County</x:v>
      </x:c>
      <x:c r="C957" s="132" t="n">
        <x:v>0</x:v>
      </x:c>
      <x:c r="D957" s="134" t="n">
        <x:v>4295</x:v>
      </x:c>
      <x:c r="E957" s="133" t="n">
        <x:v>13.8</x:v>
      </x:c>
      <x:c r="F957" s="134" t="n">
        <x:v>3092</x:v>
      </x:c>
      <x:c r="G957" s="134" t="n">
        <x:v>0</x:v>
      </x:c>
      <x:c r="H957" s="134" t="n">
        <x:v>63</x:v>
      </x:c>
      <x:c r="I957" s="134" t="n">
        <x:v>45</x:v>
      </x:c>
      <x:c r="J957" s="133" t="n">
        <x:v>1.4668218859138533</x:v>
      </x:c>
      <x:c r="K957" s="133" t="n">
        <x:v>1.4553686934023287</x:v>
      </x:c>
      <x:c r="L957" s="133" t="n">
        <x:v>1.4299332697807436</x:v>
      </x:c>
      <x:c r="M957" s="133" t="n">
        <x:v>1.3931888544891642</x:v>
      </x:c>
      <x:c r="N957" s="133" t="n">
        <x:v>2.1739130434782608</x:v>
      </x:c>
      <x:c r="O957" s="133" t="n">
        <x:v>1.639344262295082</x:v>
      </x:c>
      <x:c r="P957" s="132"/>
    </x:row>
    <x:row r="958">
      <x:c r="A958" s="136" t="str">
        <x:v>01009050502</x:v>
      </x:c>
      <x:c r="B958" s="132" t="str">
        <x:v>Blount County</x:v>
      </x:c>
      <x:c r="C958" s="132" t="n">
        <x:v>0</x:v>
      </x:c>
      <x:c r="D958" s="134" t="n">
        <x:v>3196</x:v>
      </x:c>
      <x:c r="E958" s="133" t="n">
        <x:v>10.2</x:v>
      </x:c>
      <x:c r="F958" s="134" t="n">
        <x:v>2142</x:v>
      </x:c>
      <x:c r="G958" s="134" t="n">
        <x:v>0</x:v>
      </x:c>
      <x:c r="H958" s="134" t="n">
        <x:v>69</x:v>
      </x:c>
      <x:c r="I958" s="134" t="n">
        <x:v>46</x:v>
      </x:c>
      <x:c r="J958" s="133" t="n">
        <x:v>2.1589486858573217</x:v>
      </x:c>
      <x:c r="K958" s="133" t="n">
        <x:v>2.1475256769374416</x:v>
      </x:c>
      <x:c r="L958" s="133" t="n">
        <x:v>2.127659574468085</x:v>
      </x:c>
      <x:c r="M958" s="133" t="n">
        <x:v>2.226345083487941</x:v>
      </x:c>
      <x:c r="N958" s="133" t="n">
        <x:v>2.380952380952381</x:v>
      </x:c>
      <x:c r="O958" s="133" t="n">
        <x:v>2.1739130434782608</x:v>
      </x:c>
      <x:c r="P958" s="132"/>
    </x:row>
    <x:row r="959">
      <x:c r="A959" s="136" t="str">
        <x:v>01097003404</x:v>
      </x:c>
      <x:c r="B959" s="132" t="str">
        <x:v>Mobile County</x:v>
      </x:c>
      <x:c r="C959" s="132" t="n">
        <x:v>1</x:v>
      </x:c>
      <x:c r="D959" s="134" t="n">
        <x:v>2767</x:v>
      </x:c>
      <x:c r="E959" s="133" t="n">
        <x:v>33.7</x:v>
      </x:c>
      <x:c r="F959" s="134" t="n">
        <x:v>1224</x:v>
      </x:c>
      <x:c r="G959" s="134" t="n">
        <x:v>0</x:v>
      </x:c>
      <x:c r="H959" s="134" t="n">
        <x:v>104</x:v>
      </x:c>
      <x:c r="I959" s="134" t="n">
        <x:v>46</x:v>
      </x:c>
      <x:c r="J959" s="133" t="n">
        <x:v>3.75858330321648</x:v>
      </x:c>
      <x:c r="K959" s="133" t="n">
        <x:v>3.758169934640523</x:v>
      </x:c>
      <x:c r="L959" s="133" t="n">
        <x:v>3.767123287671233</x:v>
      </x:c>
      <x:c r="M959" s="133" t="n">
        <x:v>3.767123287671233</x:v>
      </x:c>
      <x:c r="N959" s="133" t="n">
        <x:v>4.25531914893617</x:v>
      </x:c>
      <x:c r="O959" s="133" t="n">
        <x:v>3.7142857142857144</x:v>
      </x:c>
      <x:c r="P959" s="132"/>
    </x:row>
    <x:row r="960">
      <x:c r="A960" s="136" t="str">
        <x:v>01103000700</x:v>
      </x:c>
      <x:c r="B960" s="132" t="str">
        <x:v>Morgan County</x:v>
      </x:c>
      <x:c r="C960" s="132" t="n">
        <x:v>1</x:v>
      </x:c>
      <x:c r="D960" s="134" t="n">
        <x:v>3992</x:v>
      </x:c>
      <x:c r="E960" s="133" t="n">
        <x:v>31.3</x:v>
      </x:c>
      <x:c r="F960" s="134" t="n">
        <x:v>1202</x:v>
      </x:c>
      <x:c r="G960" s="134" t="n">
        <x:v>0</x:v>
      </x:c>
      <x:c r="H960" s="134" t="n">
        <x:v>152</x:v>
      </x:c>
      <x:c r="I960" s="134" t="n">
        <x:v>46</x:v>
      </x:c>
      <x:c r="J960" s="133" t="n">
        <x:v>3.8076152304609217</x:v>
      </x:c>
      <x:c r="K960" s="133" t="n">
        <x:v>3.826955074875208</x:v>
      </x:c>
      <x:c r="L960" s="133" t="n">
        <x:v>3.8200339558573853</x:v>
      </x:c>
      <x:c r="M960" s="133" t="n">
        <x:v>3.8135593220338984</x:v>
      </x:c>
      <x:c r="N960" s="133" t="n">
        <x:v>4.026845637583893</x:v>
      </x:c>
      <x:c r="O960" s="133" t="n">
        <x:v>3.8997214484679668</x:v>
      </x:c>
      <x:c r="P960" s="132"/>
    </x:row>
    <x:row r="961">
      <x:c r="A961" s="136" t="str">
        <x:v>01125012406</x:v>
      </x:c>
      <x:c r="B961" s="132" t="str">
        <x:v>Tuscaloosa County</x:v>
      </x:c>
      <x:c r="C961" s="132" t="n">
        <x:v>1</x:v>
      </x:c>
      <x:c r="D961" s="134" t="n">
        <x:v>2580</x:v>
      </x:c>
      <x:c r="E961" s="133" t="n">
        <x:v>14.3</x:v>
      </x:c>
      <x:c r="F961" s="134" t="n">
        <x:v>1336</x:v>
      </x:c>
      <x:c r="G961" s="134" t="n">
        <x:v>0</x:v>
      </x:c>
      <x:c r="H961" s="134" t="n">
        <x:v>88</x:v>
      </x:c>
      <x:c r="I961" s="134" t="n">
        <x:v>46</x:v>
      </x:c>
      <x:c r="J961" s="133" t="n">
        <x:v>3.4108527131782944</x:v>
      </x:c>
      <x:c r="K961" s="133" t="n">
        <x:v>3.44311377245509</x:v>
      </x:c>
      <x:c r="L961" s="133" t="n">
        <x:v>3.502626970227671</x:v>
      </x:c>
      <x:c r="M961" s="133" t="n">
        <x:v>3.5714285714285716</x:v>
      </x:c>
      <x:c r="N961" s="133" t="n">
        <x:v>4.3478260869565215</x:v>
      </x:c>
      <x:c r="O961" s="133" t="n">
        <x:v>3.5555555555555554</x:v>
      </x:c>
      <x:c r="P961" s="132"/>
    </x:row>
    <x:row r="962">
      <x:c r="A962" s="136" t="str">
        <x:v>01049960500</x:v>
      </x:c>
      <x:c r="B962" s="132" t="str">
        <x:v>DeKalb County</x:v>
      </x:c>
      <x:c r="C962" s="132" t="n">
        <x:v>0</x:v>
      </x:c>
      <x:c r="D962" s="134" t="n">
        <x:v>5125</x:v>
      </x:c>
      <x:c r="E962" s="133" t="n">
        <x:v>16.3</x:v>
      </x:c>
      <x:c r="F962" s="134" t="n">
        <x:v>3009</x:v>
      </x:c>
      <x:c r="G962" s="134" t="n">
        <x:v>0</x:v>
      </x:c>
      <x:c r="H962" s="134" t="n">
        <x:v>80</x:v>
      </x:c>
      <x:c r="I962" s="134" t="n">
        <x:v>47</x:v>
      </x:c>
      <x:c r="J962" s="133" t="n">
        <x:v>1.5609756097560976</x:v>
      </x:c>
      <x:c r="K962" s="133" t="n">
        <x:v>1.5619807244931871</x:v>
      </x:c>
      <x:c r="L962" s="133" t="n">
        <x:v>1.5287769784172662</x:v>
      </x:c>
      <x:c r="M962" s="133" t="n">
        <x:v>1.5889830508474576</x:v>
      </x:c>
      <x:c r="N962" s="133" t="n">
        <x:v>1.408450704225352</x:v>
      </x:c>
      <x:c r="O962" s="133" t="n">
        <x:v>1.4962593516209477</x:v>
      </x:c>
      <x:c r="P962" s="132"/>
    </x:row>
    <x:row r="963">
      <x:c r="A963" s="136" t="str">
        <x:v>01097003406</x:v>
      </x:c>
      <x:c r="B963" s="132" t="str">
        <x:v>Mobile County</x:v>
      </x:c>
      <x:c r="C963" s="132" t="n">
        <x:v>1</x:v>
      </x:c>
      <x:c r="D963" s="134" t="n">
        <x:v>2944</x:v>
      </x:c>
      <x:c r="E963" s="133" t="n">
        <x:v>30</x:v>
      </x:c>
      <x:c r="F963" s="134" t="n">
        <x:v>1243</x:v>
      </x:c>
      <x:c r="G963" s="134" t="n">
        <x:v>0</x:v>
      </x:c>
      <x:c r="H963" s="134" t="n">
        <x:v>111</x:v>
      </x:c>
      <x:c r="I963" s="134" t="n">
        <x:v>47</x:v>
      </x:c>
      <x:c r="J963" s="133" t="n">
        <x:v>3.770380434782609</x:v>
      </x:c>
      <x:c r="K963" s="133" t="n">
        <x:v>3.7811745776347547</x:v>
      </x:c>
      <x:c r="L963" s="133" t="n">
        <x:v>3.803680981595092</x:v>
      </x:c>
      <x:c r="M963" s="133" t="n">
        <x:v>3.8369304556354917</x:v>
      </x:c>
      <x:c r="N963" s="133" t="n">
        <x:v>3.4188034188034186</x:v>
      </x:c>
      <x:c r="O963" s="133" t="n">
        <x:v>3.75</x:v>
      </x:c>
      <x:c r="P963" s="132"/>
    </x:row>
    <x:row r="964">
      <x:c r="A964" s="136" t="str">
        <x:v>01097003707</x:v>
      </x:c>
      <x:c r="B964" s="132" t="str">
        <x:v>Mobile County</x:v>
      </x:c>
      <x:c r="C964" s="132" t="n">
        <x:v>1</x:v>
      </x:c>
      <x:c r="D964" s="134" t="n">
        <x:v>4393</x:v>
      </x:c>
      <x:c r="E964" s="133" t="n">
        <x:v>17.6</x:v>
      </x:c>
      <x:c r="F964" s="134" t="n">
        <x:v>2997</x:v>
      </x:c>
      <x:c r="G964" s="134" t="n">
        <x:v>0</x:v>
      </x:c>
      <x:c r="H964" s="134" t="n">
        <x:v>69</x:v>
      </x:c>
      <x:c r="I964" s="134" t="n">
        <x:v>47</x:v>
      </x:c>
      <x:c r="J964" s="133" t="n">
        <x:v>1.5706806282722514</x:v>
      </x:c>
      <x:c r="K964" s="133" t="n">
        <x:v>1.5682349015682349</x:v>
      </x:c>
      <x:c r="L964" s="133" t="n">
        <x:v>1.580135440180587</x:v>
      </x:c>
      <x:c r="M964" s="133" t="n">
        <x:v>1.6110471806674338</x:v>
      </x:c>
      <x:c r="N964" s="133" t="n">
        <x:v>1.4634146341463414</x:v>
      </x:c>
      <x:c r="O964" s="133" t="n">
        <x:v>1.4234875444839858</x:v>
      </x:c>
      <x:c r="P964" s="132"/>
    </x:row>
    <x:row r="965">
      <x:c r="A965" s="136" t="str">
        <x:v>01101001800</x:v>
      </x:c>
      <x:c r="B965" s="132" t="str">
        <x:v>Montgomery County</x:v>
      </x:c>
      <x:c r="C965" s="132" t="n">
        <x:v>1</x:v>
      </x:c>
      <x:c r="D965" s="134" t="n">
        <x:v>3375</x:v>
      </x:c>
      <x:c r="E965" s="133" t="n">
        <x:v>28.5</x:v>
      </x:c>
      <x:c r="F965" s="134" t="n">
        <x:v>1576</x:v>
      </x:c>
      <x:c r="G965" s="134" t="n">
        <x:v>0</x:v>
      </x:c>
      <x:c r="H965" s="134" t="n">
        <x:v>102</x:v>
      </x:c>
      <x:c r="I965" s="134" t="n">
        <x:v>48</x:v>
      </x:c>
      <x:c r="J965" s="133" t="n">
        <x:v>3.022222222222222</x:v>
      </x:c>
      <x:c r="K965" s="133" t="n">
        <x:v>3.045685279187817</x:v>
      </x:c>
      <x:c r="L965" s="133" t="n">
        <x:v>3.0748663101604277</x:v>
      </x:c>
      <x:c r="M965" s="133" t="n">
        <x:v>3.076923076923077</x:v>
      </x:c>
      <x:c r="N965" s="133" t="n">
        <x:v>2.6666666666666665</x:v>
      </x:c>
      <x:c r="O965" s="133" t="n">
        <x:v>3.0927835051546393</x:v>
      </x:c>
      <x:c r="P965" s="132"/>
    </x:row>
    <x:row r="966">
      <x:c r="A966" s="136" t="str">
        <x:v>01119011301</x:v>
      </x:c>
      <x:c r="B966" s="132" t="str">
        <x:v>Sumter County</x:v>
      </x:c>
      <x:c r="C966" s="132" t="n">
        <x:v>0</x:v>
      </x:c>
      <x:c r="D966" s="134" t="n">
        <x:v>3331</x:v>
      </x:c>
      <x:c r="E966" s="133" t="n">
        <x:v>31.3</x:v>
      </x:c>
      <x:c r="F966" s="134" t="n">
        <x:v>648</x:v>
      </x:c>
      <x:c r="G966" s="134" t="n">
        <x:v>0</x:v>
      </x:c>
      <x:c r="H966" s="134" t="n">
        <x:v>247</x:v>
      </x:c>
      <x:c r="I966" s="134" t="n">
        <x:v>48</x:v>
      </x:c>
      <x:c r="J966" s="133" t="n">
        <x:v>7.415190633443411</x:v>
      </x:c>
      <x:c r="K966" s="133" t="n">
        <x:v>7.407407407407407</x:v>
      </x:c>
      <x:c r="L966" s="133" t="n">
        <x:v>7.474747474747475</x:v>
      </x:c>
      <x:c r="M966" s="133" t="n">
        <x:v>7.478632478632479</x:v>
      </x:c>
      <x:c r="N966" s="133" t="n">
        <x:v>7.23404255319149</x:v>
      </x:c>
      <x:c r="O966" s="133" t="n">
        <x:v>7.281553398058253</x:v>
      </x:c>
      <x:c r="P966" s="132"/>
    </x:row>
    <x:row r="967">
      <x:c r="A967" s="136" t="str">
        <x:v>01131035100</x:v>
      </x:c>
      <x:c r="B967" s="132" t="str">
        <x:v>Wilcox County</x:v>
      </x:c>
      <x:c r="C967" s="132" t="n">
        <x:v>0</x:v>
      </x:c>
      <x:c r="D967" s="134" t="n">
        <x:v>3083</x:v>
      </x:c>
      <x:c r="E967" s="133" t="n">
        <x:v>27</x:v>
      </x:c>
      <x:c r="F967" s="134" t="n">
        <x:v>1237</x:v>
      </x:c>
      <x:c r="G967" s="134" t="n">
        <x:v>0</x:v>
      </x:c>
      <x:c r="H967" s="134" t="n">
        <x:v>119</x:v>
      </x:c>
      <x:c r="I967" s="134" t="n">
        <x:v>48</x:v>
      </x:c>
      <x:c r="J967" s="133" t="n">
        <x:v>3.8598767434317223</x:v>
      </x:c>
      <x:c r="K967" s="133" t="n">
        <x:v>3.8803556992724335</x:v>
      </x:c>
      <x:c r="L967" s="133" t="n">
        <x:v>3.872752420470263</x:v>
      </x:c>
      <x:c r="M967" s="133" t="n">
        <x:v>3.8983050847457625</x:v>
      </x:c>
      <x:c r="N967" s="133" t="n">
        <x:v>4.201680672268908</x:v>
      </x:c>
      <x:c r="O967" s="133" t="n">
        <x:v>3.826530612244898</x:v>
      </x:c>
      <x:c r="P967" s="132"/>
    </x:row>
    <x:row r="968">
      <x:c r="A968" s="136" t="str">
        <x:v>01003010400</x:v>
      </x:c>
      <x:c r="B968" s="132" t="str">
        <x:v>Baldwin County</x:v>
      </x:c>
      <x:c r="C968" s="132" t="n">
        <x:v>0</x:v>
      </x:c>
      <x:c r="D968" s="134" t="n">
        <x:v>5722</x:v>
      </x:c>
      <x:c r="E968" s="133" t="n">
        <x:v>9.6</x:v>
      </x:c>
      <x:c r="F968" s="134" t="n">
        <x:v>3188</x:v>
      </x:c>
      <x:c r="G968" s="134" t="n">
        <x:v>0</x:v>
      </x:c>
      <x:c r="H968" s="134" t="n">
        <x:v>88</x:v>
      </x:c>
      <x:c r="I968" s="134" t="n">
        <x:v>49</x:v>
      </x:c>
      <x:c r="J968" s="133" t="n">
        <x:v>1.5379238028661306</x:v>
      </x:c>
      <x:c r="K968" s="133" t="n">
        <x:v>1.5370138017565873</x:v>
      </x:c>
      <x:c r="L968" s="133" t="n">
        <x:v>1.5349194167306217</x:v>
      </x:c>
      <x:c r="M968" s="133" t="n">
        <x:v>1.5023474178403755</x:v>
      </x:c>
      <x:c r="N968" s="133" t="n">
        <x:v>0</x:v>
      </x:c>
      <x:c r="O968" s="133" t="n">
        <x:v>1.702127659574468</x:v>
      </x:c>
      <x:c r="P968" s="132"/>
    </x:row>
    <x:row r="969">
      <x:c r="A969" s="136" t="str">
        <x:v>01021060300</x:v>
      </x:c>
      <x:c r="B969" s="132" t="str">
        <x:v>Chilton County</x:v>
      </x:c>
      <x:c r="C969" s="132" t="n">
        <x:v>0</x:v>
      </x:c>
      <x:c r="D969" s="134" t="n">
        <x:v>3910</x:v>
      </x:c>
      <x:c r="E969" s="133" t="n">
        <x:v>11.5</x:v>
      </x:c>
      <x:c r="F969" s="134" t="n">
        <x:v>2505</x:v>
      </x:c>
      <x:c r="G969" s="134" t="n">
        <x:v>0</x:v>
      </x:c>
      <x:c r="H969" s="134" t="n">
        <x:v>77</x:v>
      </x:c>
      <x:c r="I969" s="134" t="n">
        <x:v>49</x:v>
      </x:c>
      <x:c r="J969" s="133" t="n">
        <x:v>1.969309462915601</x:v>
      </x:c>
      <x:c r="K969" s="133" t="n">
        <x:v>1.9560878243512974</x:v>
      </x:c>
      <x:c r="L969" s="133" t="n">
        <x:v>1.9428571428571428</x:v>
      </x:c>
      <x:c r="M969" s="133" t="n">
        <x:v>1.9914651493598863</x:v>
      </x:c>
      <x:c r="N969" s="133" t="n">
        <x:v>2.5641025641025643</x:v>
      </x:c>
      <x:c r="O969" s="133" t="n">
        <x:v>2.2099447513812156</x:v>
      </x:c>
      <x:c r="P969" s="132"/>
    </x:row>
    <x:row r="970">
      <x:c r="A970" s="136" t="str">
        <x:v>01033020100</x:v>
      </x:c>
      <x:c r="B970" s="132" t="str">
        <x:v>Colbert County</x:v>
      </x:c>
      <x:c r="C970" s="132" t="n">
        <x:v>1</x:v>
      </x:c>
      <x:c r="D970" s="134" t="n">
        <x:v>3599</x:v>
      </x:c>
      <x:c r="E970" s="133" t="n">
        <x:v>27.2</x:v>
      </x:c>
      <x:c r="F970" s="134" t="n">
        <x:v>1755</x:v>
      </x:c>
      <x:c r="G970" s="134" t="n">
        <x:v>0</x:v>
      </x:c>
      <x:c r="H970" s="134" t="n">
        <x:v>100</x:v>
      </x:c>
      <x:c r="I970" s="134" t="n">
        <x:v>49</x:v>
      </x:c>
      <x:c r="J970" s="133" t="n">
        <x:v>2.7785495971103082</x:v>
      </x:c>
      <x:c r="K970" s="133" t="n">
        <x:v>2.792022792022792</x:v>
      </x:c>
      <x:c r="L970" s="133" t="n">
        <x:v>2.73972602739726</x:v>
      </x:c>
      <x:c r="M970" s="133" t="n">
        <x:v>2.7729636048526864</x:v>
      </x:c>
      <x:c r="N970" s="133" t="n">
        <x:v>2.4096385542168677</x:v>
      </x:c>
      <x:c r="O970" s="133" t="n">
        <x:v>2.8368794326241136</x:v>
      </x:c>
      <x:c r="P970" s="132"/>
    </x:row>
    <x:row r="971">
      <x:c r="A971" s="136" t="str">
        <x:v>01097003207</x:v>
      </x:c>
      <x:c r="B971" s="132" t="str">
        <x:v>Mobile County</x:v>
      </x:c>
      <x:c r="C971" s="132" t="n">
        <x:v>1</x:v>
      </x:c>
      <x:c r="D971" s="134" t="n">
        <x:v>2989</x:v>
      </x:c>
      <x:c r="E971" s="133" t="n">
        <x:v>26.8</x:v>
      </x:c>
      <x:c r="F971" s="134" t="n">
        <x:v>2225</x:v>
      </x:c>
      <x:c r="G971" s="134" t="n">
        <x:v>0</x:v>
      </x:c>
      <x:c r="H971" s="134" t="n">
        <x:v>65</x:v>
      </x:c>
      <x:c r="I971" s="134" t="n">
        <x:v>49</x:v>
      </x:c>
      <x:c r="J971" s="133" t="n">
        <x:v>2.174640347942456</x:v>
      </x:c>
      <x:c r="K971" s="133" t="n">
        <x:v>2.202247191011236</x:v>
      </x:c>
      <x:c r="L971" s="133" t="n">
        <x:v>2.1875</x:v>
      </x:c>
      <x:c r="M971" s="133" t="n">
        <x:v>1.9607843137254901</x:v>
      </x:c>
      <x:c r="N971" s="133" t="n">
        <x:v>0</x:v>
      </x:c>
      <x:c r="O971" s="133" t="n">
        <x:v>2.0202020202020203</x:v>
      </x:c>
      <x:c r="P971" s="132"/>
    </x:row>
    <x:row r="972">
      <x:c r="A972" s="136" t="str">
        <x:v>01003010200</x:v>
      </x:c>
      <x:c r="B972" s="132" t="str">
        <x:v>Baldwin County</x:v>
      </x:c>
      <x:c r="C972" s="132" t="n">
        <x:v>0</x:v>
      </x:c>
      <x:c r="D972" s="134" t="n">
        <x:v>3000</x:v>
      </x:c>
      <x:c r="E972" s="133" t="n">
        <x:v>8.2</x:v>
      </x:c>
      <x:c r="F972" s="134" t="n">
        <x:v>2386</x:v>
      </x:c>
      <x:c r="G972" s="134" t="n">
        <x:v>0</x:v>
      </x:c>
      <x:c r="H972" s="134" t="n">
        <x:v>63</x:v>
      </x:c>
      <x:c r="I972" s="134" t="n">
        <x:v>50</x:v>
      </x:c>
      <x:c r="J972" s="133" t="n">
        <x:v>2.1</x:v>
      </x:c>
      <x:c r="K972" s="133" t="n">
        <x:v>2.095557418273261</x:v>
      </x:c>
      <x:c r="L972" s="133" t="n">
        <x:v>2.1645021645021645</x:v>
      </x:c>
      <x:c r="M972" s="133" t="n">
        <x:v>2.0793950850661624</x:v>
      </x:c>
      <x:c r="N972" s="133" t="n">
        <x:v>2.127659574468085</x:v>
      </x:c>
      <x:c r="O972" s="133" t="n">
        <x:v>2.2388059701492535</x:v>
      </x:c>
      <x:c r="P972" s="132"/>
    </x:row>
    <x:row r="973">
      <x:c r="A973" s="136" t="str">
        <x:v>01097002200</x:v>
      </x:c>
      <x:c r="B973" s="132" t="str">
        <x:v>Mobile County</x:v>
      </x:c>
      <x:c r="C973" s="132" t="n">
        <x:v>1</x:v>
      </x:c>
      <x:c r="D973" s="134" t="n">
        <x:v>2478</x:v>
      </x:c>
      <x:c r="E973" s="133" t="n">
        <x:v>19.3</x:v>
      </x:c>
      <x:c r="F973" s="134" t="n">
        <x:v>1314</x:v>
      </x:c>
      <x:c r="G973" s="134" t="n">
        <x:v>0</x:v>
      </x:c>
      <x:c r="H973" s="134" t="n">
        <x:v>95</x:v>
      </x:c>
      <x:c r="I973" s="134" t="n">
        <x:v>50</x:v>
      </x:c>
      <x:c r="J973" s="133" t="n">
        <x:v>3.8337368845843423</x:v>
      </x:c>
      <x:c r="K973" s="133" t="n">
        <x:v>3.8051750380517504</x:v>
      </x:c>
      <x:c r="L973" s="133" t="n">
        <x:v>3.8135593220338984</x:v>
      </x:c>
      <x:c r="M973" s="133" t="n">
        <x:v>3.741496598639456</x:v>
      </x:c>
      <x:c r="N973" s="133" t="n">
        <x:v>3.8461538461538463</x:v>
      </x:c>
      <x:c r="O973" s="133" t="n">
        <x:v>3.6458333333333335</x:v>
      </x:c>
      <x:c r="P973" s="132"/>
    </x:row>
    <x:row r="974">
      <x:c r="A974" s="136" t="str">
        <x:v>01077010902</x:v>
      </x:c>
      <x:c r="B974" s="132" t="str">
        <x:v>Lauderdale County</x:v>
      </x:c>
      <x:c r="C974" s="132" t="n">
        <x:v>1</x:v>
      </x:c>
      <x:c r="D974" s="134" t="n">
        <x:v>3814</x:v>
      </x:c>
      <x:c r="E974" s="133" t="n">
        <x:v>26.4</x:v>
      </x:c>
      <x:c r="F974" s="134" t="n">
        <x:v>2156</x:v>
      </x:c>
      <x:c r="G974" s="134" t="n">
        <x:v>0</x:v>
      </x:c>
      <x:c r="H974" s="134" t="n">
        <x:v>90</x:v>
      </x:c>
      <x:c r="I974" s="134" t="n">
        <x:v>51</x:v>
      </x:c>
      <x:c r="J974" s="133" t="n">
        <x:v>2.3597273203985316</x:v>
      </x:c>
      <x:c r="K974" s="133" t="n">
        <x:v>2.3654916512059367</x:v>
      </x:c>
      <x:c r="L974" s="133" t="n">
        <x:v>2.389937106918239</x:v>
      </x:c>
      <x:c r="M974" s="133" t="n">
        <x:v>2.3494860499265786</x:v>
      </x:c>
      <x:c r="N974" s="133" t="n">
        <x:v>2.2988505747126435</x:v>
      </x:c>
      <x:c r="O974" s="133" t="n">
        <x:v>2.4719101123595504</x:v>
      </x:c>
      <x:c r="P974" s="132"/>
    </x:row>
    <x:row r="975">
      <x:c r="A975" s="136" t="str">
        <x:v>01073010401</x:v>
      </x:c>
      <x:c r="B975" s="132" t="str">
        <x:v>Jefferson County</x:v>
      </x:c>
      <x:c r="C975" s="132" t="n">
        <x:v>1</x:v>
      </x:c>
      <x:c r="D975" s="134" t="n">
        <x:v>3556</x:v>
      </x:c>
      <x:c r="E975" s="133" t="n">
        <x:v>26.6</x:v>
      </x:c>
      <x:c r="F975" s="134" t="n">
        <x:v>1632</x:v>
      </x:c>
      <x:c r="G975" s="134" t="n">
        <x:v>0</x:v>
      </x:c>
      <x:c r="H975" s="134" t="n">
        <x:v>112</x:v>
      </x:c>
      <x:c r="I975" s="134" t="n">
        <x:v>52</x:v>
      </x:c>
      <x:c r="J975" s="133" t="n">
        <x:v>3.1496062992125986</x:v>
      </x:c>
      <x:c r="K975" s="133" t="n">
        <x:v>3.1862745098039214</x:v>
      </x:c>
      <x:c r="L975" s="133" t="n">
        <x:v>3.1565656565656566</x:v>
      </x:c>
      <x:c r="M975" s="133" t="n">
        <x:v>3.1078610603290677</x:v>
      </x:c>
      <x:c r="N975" s="133" t="n">
        <x:v>3.75</x:v>
      </x:c>
      <x:c r="O975" s="133" t="n">
        <x:v>3.088803088803089</x:v>
      </x:c>
      <x:c r="P975" s="132"/>
    </x:row>
    <x:row r="976">
      <x:c r="A976" s="136" t="str">
        <x:v>01077010200</x:v>
      </x:c>
      <x:c r="B976" s="132" t="str">
        <x:v>Lauderdale County</x:v>
      </x:c>
      <x:c r="C976" s="132" t="n">
        <x:v>1</x:v>
      </x:c>
      <x:c r="D976" s="134" t="n">
        <x:v>1829</x:v>
      </x:c>
      <x:c r="E976" s="133" t="n">
        <x:v>19.8</x:v>
      </x:c>
      <x:c r="F976" s="134" t="n">
        <x:v>1046</x:v>
      </x:c>
      <x:c r="G976" s="134" t="n">
        <x:v>0</x:v>
      </x:c>
      <x:c r="H976" s="134" t="n">
        <x:v>90</x:v>
      </x:c>
      <x:c r="I976" s="134" t="n">
        <x:v>52</x:v>
      </x:c>
      <x:c r="J976" s="133" t="n">
        <x:v>4.920721705850191</x:v>
      </x:c>
      <x:c r="K976" s="133" t="n">
        <x:v>4.97131931166348</x:v>
      </x:c>
      <x:c r="L976" s="133" t="n">
        <x:v>5.090909090909091</x:v>
      </x:c>
      <x:c r="M976" s="133" t="n">
        <x:v>4.825737265415549</x:v>
      </x:c>
      <x:c r="N976" s="133" t="n">
        <x:v>4.978354978354979</x:v>
      </x:c>
      <x:c r="O976" s="133" t="n">
        <x:v>4.888888888888889</x:v>
      </x:c>
      <x:c r="P976" s="132"/>
    </x:row>
    <x:row r="977">
      <x:c r="A977" s="136" t="str">
        <x:v>01101003100</x:v>
      </x:c>
      <x:c r="B977" s="132" t="str">
        <x:v>Montgomery County</x:v>
      </x:c>
      <x:c r="C977" s="132" t="n">
        <x:v>1</x:v>
      </x:c>
      <x:c r="D977" s="134" t="n">
        <x:v>3436</x:v>
      </x:c>
      <x:c r="E977" s="133" t="n">
        <x:v>25.2</x:v>
      </x:c>
      <x:c r="F977" s="134" t="n">
        <x:v>1895</x:v>
      </x:c>
      <x:c r="G977" s="134" t="n">
        <x:v>0</x:v>
      </x:c>
      <x:c r="H977" s="134" t="n">
        <x:v>95</x:v>
      </x:c>
      <x:c r="I977" s="134" t="n">
        <x:v>52</x:v>
      </x:c>
      <x:c r="J977" s="133" t="n">
        <x:v>2.7648428405122236</x:v>
      </x:c>
      <x:c r="K977" s="133" t="n">
        <x:v>2.7440633245382586</x:v>
      </x:c>
      <x:c r="L977" s="133" t="n">
        <x:v>2.734375</x:v>
      </x:c>
      <x:c r="M977" s="133" t="n">
        <x:v>2.765957446808511</x:v>
      </x:c>
      <x:c r="N977" s="133" t="n">
        <x:v>0</x:v>
      </x:c>
      <x:c r="O977" s="133" t="n">
        <x:v>2.824858757062147</x:v>
      </x:c>
      <x:c r="P977" s="132"/>
    </x:row>
    <x:row r="978">
      <x:c r="A978" s="136" t="str">
        <x:v>01033020802</x:v>
      </x:c>
      <x:c r="B978" s="132" t="str">
        <x:v>Colbert County</x:v>
      </x:c>
      <x:c r="C978" s="132" t="n">
        <x:v>0</x:v>
      </x:c>
      <x:c r="D978" s="134" t="n">
        <x:v>3422</x:v>
      </x:c>
      <x:c r="E978" s="133" t="n">
        <x:v>10.5</x:v>
      </x:c>
      <x:c r="F978" s="134" t="n">
        <x:v>2455</x:v>
      </x:c>
      <x:c r="G978" s="134" t="n">
        <x:v>0</x:v>
      </x:c>
      <x:c r="H978" s="134" t="n">
        <x:v>75</x:v>
      </x:c>
      <x:c r="I978" s="134" t="n">
        <x:v>54</x:v>
      </x:c>
      <x:c r="J978" s="133" t="n">
        <x:v>2.1917007597895966</x:v>
      </x:c>
      <x:c r="K978" s="133" t="n">
        <x:v>2.1995926680244398</x:v>
      </x:c>
      <x:c r="L978" s="133" t="n">
        <x:v>2.1459227467811157</x:v>
      </x:c>
      <x:c r="M978" s="133" t="n">
        <x:v>2.142857142857143</x:v>
      </x:c>
      <x:c r="N978" s="133" t="n">
        <x:v>2.0408163265306123</x:v>
      </x:c>
      <x:c r="O978" s="133" t="n">
        <x:v>2.347417840375587</x:v>
      </x:c>
      <x:c r="P978" s="132"/>
    </x:row>
    <x:row r="979">
      <x:c r="A979" s="136" t="str">
        <x:v>01051030300</x:v>
      </x:c>
      <x:c r="B979" s="132" t="str">
        <x:v>Elmore County</x:v>
      </x:c>
      <x:c r="C979" s="132" t="n">
        <x:v>0</x:v>
      </x:c>
      <x:c r="D979" s="134" t="n">
        <x:v>2766</x:v>
      </x:c>
      <x:c r="E979" s="133" t="n">
        <x:v>5</x:v>
      </x:c>
      <x:c r="F979" s="134" t="n">
        <x:v>2652</x:v>
      </x:c>
      <x:c r="G979" s="134" t="n">
        <x:v>0</x:v>
      </x:c>
      <x:c r="H979" s="134" t="n">
        <x:v>56</x:v>
      </x:c>
      <x:c r="I979" s="134" t="n">
        <x:v>54</x:v>
      </x:c>
      <x:c r="J979" s="133" t="n">
        <x:v>2.0245842371655822</x:v>
      </x:c>
      <x:c r="K979" s="133" t="n">
        <x:v>2.0361990950226243</x:v>
      </x:c>
      <x:c r="L979" s="133" t="n">
        <x:v>2.005730659025788</x:v>
      </x:c>
      <x:c r="M979" s="133" t="n">
        <x:v>1.9801980198019802</x:v>
      </x:c>
      <x:c r="N979" s="133" t="n">
        <x:v>2.9411764705882355</x:v>
      </x:c>
      <x:c r="O979" s="133" t="n">
        <x:v>0</x:v>
      </x:c>
      <x:c r="P979" s="132"/>
    </x:row>
    <x:row r="980">
      <x:c r="A980" s="136" t="str">
        <x:v>01013953400</x:v>
      </x:c>
      <x:c r="B980" s="132" t="str">
        <x:v>Butler County</x:v>
      </x:c>
      <x:c r="C980" s="132" t="n">
        <x:v>0</x:v>
      </x:c>
      <x:c r="D980" s="134" t="n">
        <x:v>2392</x:v>
      </x:c>
      <x:c r="E980" s="133" t="n">
        <x:v>18.2</x:v>
      </x:c>
      <x:c r="F980" s="134" t="n">
        <x:v>1269</x:v>
      </x:c>
      <x:c r="G980" s="134" t="n">
        <x:v>0</x:v>
      </x:c>
      <x:c r="H980" s="134" t="n">
        <x:v>107</x:v>
      </x:c>
      <x:c r="I980" s="134" t="n">
        <x:v>57</x:v>
      </x:c>
      <x:c r="J980" s="133" t="n">
        <x:v>4.473244147157191</x:v>
      </x:c>
      <x:c r="K980" s="133" t="n">
        <x:v>4.491725768321513</x:v>
      </x:c>
      <x:c r="L980" s="133" t="n">
        <x:v>4.573804573804574</x:v>
      </x:c>
      <x:c r="M980" s="133" t="n">
        <x:v>4.562737642585551</x:v>
      </x:c>
      <x:c r="N980" s="133" t="n">
        <x:v>4.838709677419355</x:v>
      </x:c>
      <x:c r="O980" s="133" t="n">
        <x:v>4.477611940298507</x:v>
      </x:c>
      <x:c r="P980" s="132"/>
    </x:row>
    <x:row r="981">
      <x:c r="A981" s="136" t="str">
        <x:v>01027958900</x:v>
      </x:c>
      <x:c r="B981" s="132" t="str">
        <x:v>Clay County</x:v>
      </x:c>
      <x:c r="C981" s="132" t="n">
        <x:v>0</x:v>
      </x:c>
      <x:c r="D981" s="134" t="n">
        <x:v>5629</x:v>
      </x:c>
      <x:c r="E981" s="133" t="n">
        <x:v>18.3</x:v>
      </x:c>
      <x:c r="F981" s="134" t="n">
        <x:v>3103</x:v>
      </x:c>
      <x:c r="G981" s="134" t="n">
        <x:v>0</x:v>
      </x:c>
      <x:c r="H981" s="134" t="n">
        <x:v>104</x:v>
      </x:c>
      <x:c r="I981" s="134" t="n">
        <x:v>57</x:v>
      </x:c>
      <x:c r="J981" s="133" t="n">
        <x:v>1.8475750577367205</x:v>
      </x:c>
      <x:c r="K981" s="133" t="n">
        <x:v>1.836932001289075</x:v>
      </x:c>
      <x:c r="L981" s="133" t="n">
        <x:v>1.8744906275468622</x:v>
      </x:c>
      <x:c r="M981" s="133" t="n">
        <x:v>1.8297533810660302</x:v>
      </x:c>
      <x:c r="N981" s="133" t="n">
        <x:v>1.680672268907563</x:v>
      </x:c>
      <x:c r="O981" s="133" t="n">
        <x:v>1.8518518518518519</x:v>
      </x:c>
      <x:c r="P981" s="132"/>
    </x:row>
    <x:row r="982">
      <x:c r="A982" s="136" t="str">
        <x:v>01063060200</x:v>
      </x:c>
      <x:c r="B982" s="132" t="str">
        <x:v>Greene County</x:v>
      </x:c>
      <x:c r="C982" s="132" t="n">
        <x:v>0</x:v>
      </x:c>
      <x:c r="D982" s="134" t="n">
        <x:v>2199</x:v>
      </x:c>
      <x:c r="E982" s="133" t="n">
        <x:v>26.3</x:v>
      </x:c>
      <x:c r="F982" s="134" t="n">
        <x:v>1019</x:v>
      </x:c>
      <x:c r="G982" s="134" t="n">
        <x:v>0</x:v>
      </x:c>
      <x:c r="H982" s="134" t="n">
        <x:v>122</x:v>
      </x:c>
      <x:c r="I982" s="134" t="n">
        <x:v>57</x:v>
      </x:c>
      <x:c r="J982" s="133" t="n">
        <x:v>5.547976352887677</x:v>
      </x:c>
      <x:c r="K982" s="133" t="n">
        <x:v>5.593719332679097</x:v>
      </x:c>
      <x:c r="L982" s="133" t="n">
        <x:v>5.555555555555555</x:v>
      </x:c>
      <x:c r="M982" s="133" t="n">
        <x:v>5.613305613305613</x:v>
      </x:c>
      <x:c r="N982" s="133" t="n">
        <x:v>5.755395683453237</x:v>
      </x:c>
      <x:c r="O982" s="133" t="n">
        <x:v>5.449591280653951</x:v>
      </x:c>
      <x:c r="P982" s="132"/>
    </x:row>
    <x:row r="983">
      <x:c r="A983" s="136" t="str">
        <x:v>01089002600</x:v>
      </x:c>
      <x:c r="B983" s="132" t="str">
        <x:v>Madison County</x:v>
      </x:c>
      <x:c r="C983" s="132" t="n">
        <x:v>1</x:v>
      </x:c>
      <x:c r="D983" s="134" t="n">
        <x:v>4035</x:v>
      </x:c>
      <x:c r="E983" s="133" t="n">
        <x:v>8.9</x:v>
      </x:c>
      <x:c r="F983" s="134" t="n">
        <x:v>3179</x:v>
      </x:c>
      <x:c r="G983" s="134" t="n">
        <x:v>0</x:v>
      </x:c>
      <x:c r="H983" s="134" t="n">
        <x:v>72</x:v>
      </x:c>
      <x:c r="I983" s="134" t="n">
        <x:v>57</x:v>
      </x:c>
      <x:c r="J983" s="133" t="n">
        <x:v>1.7843866171003717</x:v>
      </x:c>
      <x:c r="K983" s="133" t="n">
        <x:v>1.7930166719094054</x:v>
      </x:c>
      <x:c r="L983" s="133" t="n">
        <x:v>1.746031746031746</x:v>
      </x:c>
      <x:c r="M983" s="133" t="n">
        <x:v>1.8198362147406733</x:v>
      </x:c>
      <x:c r="N983" s="133" t="n">
        <x:v>2.2988505747126435</x:v>
      </x:c>
      <x:c r="O983" s="133" t="n">
        <x:v>2.0408163265306123</x:v>
      </x:c>
      <x:c r="P983" s="132"/>
    </x:row>
    <x:row r="984">
      <x:c r="A984" s="136" t="str">
        <x:v>01039961700</x:v>
      </x:c>
      <x:c r="B984" s="132" t="str">
        <x:v>Covington County</x:v>
      </x:c>
      <x:c r="C984" s="132" t="n">
        <x:v>0</x:v>
      </x:c>
      <x:c r="D984" s="134" t="n">
        <x:v>3749</x:v>
      </x:c>
      <x:c r="E984" s="133" t="n">
        <x:v>23.1</x:v>
      </x:c>
      <x:c r="F984" s="134" t="n">
        <x:v>2016</x:v>
      </x:c>
      <x:c r="G984" s="134" t="n">
        <x:v>0</x:v>
      </x:c>
      <x:c r="H984" s="134" t="n">
        <x:v>108</x:v>
      </x:c>
      <x:c r="I984" s="134" t="n">
        <x:v>58</x:v>
      </x:c>
      <x:c r="J984" s="133" t="n">
        <x:v>2.8807682048546277</x:v>
      </x:c>
      <x:c r="K984" s="133" t="n">
        <x:v>2.876984126984127</x:v>
      </x:c>
      <x:c r="L984" s="133" t="n">
        <x:v>2.92326431181486</x:v>
      </x:c>
      <x:c r="M984" s="133" t="n">
        <x:v>2.857142857142857</x:v>
      </x:c>
      <x:c r="N984" s="133" t="n">
        <x:v>2.7777777777777777</x:v>
      </x:c>
      <x:c r="O984" s="133" t="n">
        <x:v>2.7027027027027026</x:v>
      </x:c>
      <x:c r="P984" s="132"/>
    </x:row>
    <x:row r="985">
      <x:c r="A985" s="136" t="str">
        <x:v>01097006902</x:v>
      </x:c>
      <x:c r="B985" s="132" t="str">
        <x:v>Mobile County</x:v>
      </x:c>
      <x:c r="C985" s="132" t="n">
        <x:v>1</x:v>
      </x:c>
      <x:c r="D985" s="134" t="n">
        <x:v>4131</x:v>
      </x:c>
      <x:c r="E985" s="133" t="n">
        <x:v>25.4</x:v>
      </x:c>
      <x:c r="F985" s="134" t="n">
        <x:v>2421</x:v>
      </x:c>
      <x:c r="G985" s="134" t="n">
        <x:v>0</x:v>
      </x:c>
      <x:c r="H985" s="134" t="n">
        <x:v>100</x:v>
      </x:c>
      <x:c r="I985" s="134" t="n">
        <x:v>58</x:v>
      </x:c>
      <x:c r="J985" s="133" t="n">
        <x:v>2.420721374969741</x:v>
      </x:c>
      <x:c r="K985" s="133" t="n">
        <x:v>2.395704254440314</x:v>
      </x:c>
      <x:c r="L985" s="133" t="n">
        <x:v>2.3715415019762847</x:v>
      </x:c>
      <x:c r="M985" s="133" t="n">
        <x:v>2.3564064801178204</x:v>
      </x:c>
      <x:c r="N985" s="133" t="n">
        <x:v>2.816901408450704</x:v>
      </x:c>
      <x:c r="O985" s="133" t="n">
        <x:v>2.3166023166023164</x:v>
      </x:c>
      <x:c r="P985" s="132"/>
    </x:row>
    <x:row r="986">
      <x:c r="A986" s="136" t="str">
        <x:v>01119011400</x:v>
      </x:c>
      <x:c r="B986" s="132" t="str">
        <x:v>Sumter County</x:v>
      </x:c>
      <x:c r="C986" s="132" t="n">
        <x:v>0</x:v>
      </x:c>
      <x:c r="D986" s="134" t="n">
        <x:v>1478</x:v>
      </x:c>
      <x:c r="E986" s="133" t="n">
        <x:v>24.8</x:v>
      </x:c>
      <x:c r="F986" s="134" t="n">
        <x:v>327</x:v>
      </x:c>
      <x:c r="G986" s="134" t="n">
        <x:v>0</x:v>
      </x:c>
      <x:c r="H986" s="134" t="n">
        <x:v>264</x:v>
      </x:c>
      <x:c r="I986" s="134" t="n">
        <x:v>58</x:v>
      </x:c>
      <x:c r="J986" s="133" t="n">
        <x:v>17.861975642760488</x:v>
      </x:c>
      <x:c r="K986" s="133" t="n">
        <x:v>17.737003058103976</x:v>
      </x:c>
      <x:c r="L986" s="133" t="n">
        <x:v>17.891373801916934</x:v>
      </x:c>
      <x:c r="M986" s="133" t="n">
        <x:v>17.77777777777778</x:v>
      </x:c>
      <x:c r="N986" s="133" t="n">
        <x:v>17.741935483870968</x:v>
      </x:c>
      <x:c r="O986" s="133" t="n">
        <x:v>17.73049645390071</x:v>
      </x:c>
      <x:c r="P986" s="132"/>
    </x:row>
    <x:row r="987">
      <x:c r="A987" s="136" t="str">
        <x:v>01073013902</x:v>
      </x:c>
      <x:c r="B987" s="132" t="str">
        <x:v>Jefferson County</x:v>
      </x:c>
      <x:c r="C987" s="132" t="n">
        <x:v>1</x:v>
      </x:c>
      <x:c r="D987" s="134" t="n">
        <x:v>2269</x:v>
      </x:c>
      <x:c r="E987" s="133" t="n">
        <x:v>9</x:v>
      </x:c>
      <x:c r="F987" s="134" t="n">
        <x:v>1546</x:v>
      </x:c>
      <x:c r="G987" s="134" t="n">
        <x:v>0</x:v>
      </x:c>
      <x:c r="H987" s="134" t="n">
        <x:v>87</x:v>
      </x:c>
      <x:c r="I987" s="134" t="n">
        <x:v>59</x:v>
      </x:c>
      <x:c r="J987" s="133" t="n">
        <x:v>3.8342882327016308</x:v>
      </x:c>
      <x:c r="K987" s="133" t="n">
        <x:v>3.8163001293661063</x:v>
      </x:c>
      <x:c r="L987" s="133" t="n">
        <x:v>3.7280701754385963</x:v>
      </x:c>
      <x:c r="M987" s="133" t="n">
        <x:v>3.7344398340248963</x:v>
      </x:c>
      <x:c r="N987" s="133" t="n">
        <x:v>0</x:v>
      </x:c>
      <x:c r="O987" s="133" t="n">
        <x:v>4.3478260869565215</x:v>
      </x:c>
      <x:c r="P987" s="132"/>
    </x:row>
    <x:row r="988">
      <x:c r="A988" s="136" t="str">
        <x:v>01025957700</x:v>
      </x:c>
      <x:c r="B988" s="132" t="str">
        <x:v>Clarke County</x:v>
      </x:c>
      <x:c r="C988" s="132" t="n">
        <x:v>0</x:v>
      </x:c>
      <x:c r="D988" s="134" t="n">
        <x:v>1087</x:v>
      </x:c>
      <x:c r="E988" s="133" t="n">
        <x:v>14.8</x:v>
      </x:c>
      <x:c r="F988" s="134" t="n">
        <x:v>736</x:v>
      </x:c>
      <x:c r="G988" s="134" t="n">
        <x:v>0</x:v>
      </x:c>
      <x:c r="H988" s="134" t="n">
        <x:v>88</x:v>
      </x:c>
      <x:c r="I988" s="134" t="n">
        <x:v>60</x:v>
      </x:c>
      <x:c r="J988" s="133" t="n">
        <x:v>8.095676172953082</x:v>
      </x:c>
      <x:c r="K988" s="133" t="n">
        <x:v>8.152173913043478</x:v>
      </x:c>
      <x:c r="L988" s="133" t="n">
        <x:v>8</x:v>
      </x:c>
      <x:c r="M988" s="133" t="n">
        <x:v>7.949790794979079</x:v>
      </x:c>
      <x:c r="N988" s="133" t="n">
        <x:v>9.090909090909092</x:v>
      </x:c>
      <x:c r="O988" s="133" t="n">
        <x:v>8.125</x:v>
      </x:c>
      <x:c r="P988" s="132"/>
    </x:row>
    <x:row r="989">
      <x:c r="A989" s="136" t="str">
        <x:v>01093964002</x:v>
      </x:c>
      <x:c r="B989" s="132" t="str">
        <x:v>Marion County</x:v>
      </x:c>
      <x:c r="C989" s="132" t="n">
        <x:v>0</x:v>
      </x:c>
      <x:c r="D989" s="134" t="n">
        <x:v>1423</x:v>
      </x:c>
      <x:c r="E989" s="133" t="n">
        <x:v>20.2</x:v>
      </x:c>
      <x:c r="F989" s="134" t="n">
        <x:v>586</x:v>
      </x:c>
      <x:c r="G989" s="134" t="n">
        <x:v>0</x:v>
      </x:c>
      <x:c r="H989" s="134" t="n">
        <x:v>146</x:v>
      </x:c>
      <x:c r="I989" s="134" t="n">
        <x:v>60</x:v>
      </x:c>
      <x:c r="J989" s="133" t="n">
        <x:v>10.260014054813773</x:v>
      </x:c>
      <x:c r="K989" s="133" t="n">
        <x:v>10.238907849829351</x:v>
      </x:c>
      <x:c r="L989" s="133" t="n">
        <x:v>10.15625</x:v>
      </x:c>
      <x:c r="M989" s="133" t="n">
        <x:v>10.163934426229508</x:v>
      </x:c>
      <x:c r="N989" s="133" t="n">
        <x:v>9.30232558139535</x:v>
      </x:c>
      <x:c r="O989" s="133" t="n">
        <x:v>10.655737704918034</x:v>
      </x:c>
      <x:c r="P989" s="132"/>
    </x:row>
    <x:row r="990">
      <x:c r="A990" s="136" t="str">
        <x:v>01073012908</x:v>
      </x:c>
      <x:c r="B990" s="132" t="str">
        <x:v>Jefferson County</x:v>
      </x:c>
      <x:c r="C990" s="132" t="n">
        <x:v>1</x:v>
      </x:c>
      <x:c r="D990" s="134" t="n">
        <x:v>4352</x:v>
      </x:c>
      <x:c r="E990" s="133" t="n">
        <x:v>16.7</x:v>
      </x:c>
      <x:c r="F990" s="134" t="n">
        <x:v>2439</x:v>
      </x:c>
      <x:c r="G990" s="134" t="n">
        <x:v>0</x:v>
      </x:c>
      <x:c r="H990" s="134" t="n">
        <x:v>110</x:v>
      </x:c>
      <x:c r="I990" s="134" t="n">
        <x:v>61</x:v>
      </x:c>
      <x:c r="J990" s="133" t="n">
        <x:v>2.5275735294117645</x:v>
      </x:c>
      <x:c r="K990" s="133" t="n">
        <x:v>2.5010250102501024</x:v>
      </x:c>
      <x:c r="L990" s="133" t="n">
        <x:v>2.494331065759637</x:v>
      </x:c>
      <x:c r="M990" s="133" t="n">
        <x:v>2.5041736227045077</x:v>
      </x:c>
      <x:c r="N990" s="133" t="n">
        <x:v>2.272727272727273</x:v>
      </x:c>
      <x:c r="O990" s="133" t="n">
        <x:v>2.5641025641025643</x:v>
      </x:c>
      <x:c r="P990" s="132"/>
    </x:row>
    <x:row r="991">
      <x:c r="A991" s="136" t="str">
        <x:v>01079979800</x:v>
      </x:c>
      <x:c r="B991" s="132" t="str">
        <x:v>Lawrence County</x:v>
      </x:c>
      <x:c r="C991" s="132" t="n">
        <x:v>0</x:v>
      </x:c>
      <x:c r="D991" s="134" t="n">
        <x:v>3345</x:v>
      </x:c>
      <x:c r="E991" s="133" t="n">
        <x:v>5.9</x:v>
      </x:c>
      <x:c r="F991" s="134" t="n">
        <x:v>2488</x:v>
      </x:c>
      <x:c r="G991" s="134" t="n">
        <x:v>0</x:v>
      </x:c>
      <x:c r="H991" s="134" t="n">
        <x:v>83</x:v>
      </x:c>
      <x:c r="I991" s="134" t="n">
        <x:v>62</x:v>
      </x:c>
      <x:c r="J991" s="133" t="n">
        <x:v>2.4813153961136023</x:v>
      </x:c>
      <x:c r="K991" s="133" t="n">
        <x:v>2.491961414790997</x:v>
      </x:c>
      <x:c r="L991" s="133" t="n">
        <x:v>2.5232403718459495</x:v>
      </x:c>
      <x:c r="M991" s="133" t="n">
        <x:v>2.5297619047619047</x:v>
      </x:c>
      <x:c r="N991" s="133" t="n">
        <x:v>2.7027027027027026</x:v>
      </x:c>
      <x:c r="O991" s="133" t="n">
        <x:v>3.225806451612903</x:v>
      </x:c>
      <x:c r="P991" s="132"/>
    </x:row>
    <x:row r="992">
      <x:c r="A992" s="136" t="str">
        <x:v>01117030215</x:v>
      </x:c>
      <x:c r="B992" s="132" t="str">
        <x:v>Shelby County</x:v>
      </x:c>
      <x:c r="C992" s="132" t="n">
        <x:v>0</x:v>
      </x:c>
      <x:c r="D992" s="134" t="n">
        <x:v>5095</x:v>
      </x:c>
      <x:c r="E992" s="133" t="n">
        <x:v>5.8</x:v>
      </x:c>
      <x:c r="F992" s="134" t="n">
        <x:v>5195</x:v>
      </x:c>
      <x:c r="G992" s="134" t="n">
        <x:v>0</x:v>
      </x:c>
      <x:c r="H992" s="134" t="n">
        <x:v>61</x:v>
      </x:c>
      <x:c r="I992" s="134" t="n">
        <x:v>62</x:v>
      </x:c>
      <x:c r="J992" s="133" t="n">
        <x:v>1.197252208047105</x:v>
      </x:c>
      <x:c r="K992" s="133" t="n">
        <x:v>1.1934552454282965</x:v>
      </x:c>
      <x:c r="L992" s="133" t="n">
        <x:v>1.2148823082763858</x:v>
      </x:c>
      <x:c r="M992" s="133" t="n">
        <x:v>1.2461059190031152</x:v>
      </x:c>
      <x:c r="N992" s="133" t="n">
        <x:v>0</x:v>
      </x:c>
      <x:c r="O992" s="133" t="n">
        <x:v>1.1764705882352942</x:v>
      </x:c>
      <x:c r="P992" s="132"/>
    </x:row>
    <x:row r="993">
      <x:c r="A993" s="136" t="str">
        <x:v>01059973600</x:v>
      </x:c>
      <x:c r="B993" s="132" t="str">
        <x:v>Franklin County</x:v>
      </x:c>
      <x:c r="C993" s="132" t="n">
        <x:v>0</x:v>
      </x:c>
      <x:c r="D993" s="134" t="n">
        <x:v>1744</x:v>
      </x:c>
      <x:c r="E993" s="133" t="n">
        <x:v>28.4</x:v>
      </x:c>
      <x:c r="F993" s="134" t="n">
        <x:v>735</x:v>
      </x:c>
      <x:c r="G993" s="134" t="n">
        <x:v>0</x:v>
      </x:c>
      <x:c r="H993" s="134" t="n">
        <x:v>151</x:v>
      </x:c>
      <x:c r="I993" s="134" t="n">
        <x:v>63</x:v>
      </x:c>
      <x:c r="J993" s="133" t="n">
        <x:v>8.658256880733944</x:v>
      </x:c>
      <x:c r="K993" s="133" t="n">
        <x:v>8.571428571428571</x:v>
      </x:c>
      <x:c r="L993" s="133" t="n">
        <x:v>8.536585365853659</x:v>
      </x:c>
      <x:c r="M993" s="133" t="n">
        <x:v>8.517350157728707</x:v>
      </x:c>
      <x:c r="N993" s="133" t="n">
        <x:v>8.333333333333334</x:v>
      </x:c>
      <x:c r="O993" s="133" t="n">
        <x:v>9.195402298850574</x:v>
      </x:c>
      <x:c r="P993" s="132"/>
    </x:row>
    <x:row r="994">
      <x:c r="A994" s="136" t="str">
        <x:v>01125011703</x:v>
      </x:c>
      <x:c r="B994" s="132" t="str">
        <x:v>Tuscaloosa County</x:v>
      </x:c>
      <x:c r="C994" s="132" t="n">
        <x:v>1</x:v>
      </x:c>
      <x:c r="D994" s="134" t="n">
        <x:v>4526</x:v>
      </x:c>
      <x:c r="E994" s="133" t="n">
        <x:v>35.3</x:v>
      </x:c>
      <x:c r="F994" s="134" t="n">
        <x:v>1668</x:v>
      </x:c>
      <x:c r="G994" s="134" t="n">
        <x:v>0</x:v>
      </x:c>
      <x:c r="H994" s="134" t="n">
        <x:v>172</x:v>
      </x:c>
      <x:c r="I994" s="134" t="n">
        <x:v>63</x:v>
      </x:c>
      <x:c r="J994" s="133" t="n">
        <x:v>3.800265134776845</x:v>
      </x:c>
      <x:c r="K994" s="133" t="n">
        <x:v>3.776978417266187</x:v>
      </x:c>
      <x:c r="L994" s="133" t="n">
        <x:v>3.7674037674037675</x:v>
      </x:c>
      <x:c r="M994" s="133" t="n">
        <x:v>3.7780401416765055</x:v>
      </x:c>
      <x:c r="N994" s="133" t="n">
        <x:v>3.821656050955414</x:v>
      </x:c>
      <x:c r="O994" s="133" t="n">
        <x:v>3.7481259370314843</x:v>
      </x:c>
      <x:c r="P994" s="132"/>
    </x:row>
    <x:row r="995">
      <x:c r="A995" s="136" t="str">
        <x:v>01055001700</x:v>
      </x:c>
      <x:c r="B995" s="132" t="str">
        <x:v>Etowah County</x:v>
      </x:c>
      <x:c r="C995" s="132" t="n">
        <x:v>1</x:v>
      </x:c>
      <x:c r="D995" s="134" t="n">
        <x:v>1504</x:v>
      </x:c>
      <x:c r="E995" s="133" t="n">
        <x:v>14.5</x:v>
      </x:c>
      <x:c r="F995" s="134" t="n">
        <x:v>644</x:v>
      </x:c>
      <x:c r="G995" s="134" t="n">
        <x:v>0</x:v>
      </x:c>
      <x:c r="H995" s="134" t="n">
        <x:v>149</x:v>
      </x:c>
      <x:c r="I995" s="134" t="n">
        <x:v>64</x:v>
      </x:c>
      <x:c r="J995" s="133" t="n">
        <x:v>9.90691489361702</x:v>
      </x:c>
      <x:c r="K995" s="133" t="n">
        <x:v>9.937888198757763</x:v>
      </x:c>
      <x:c r="L995" s="133" t="n">
        <x:v>10</x:v>
      </x:c>
      <x:c r="M995" s="133" t="n">
        <x:v>9.887005649717514</x:v>
      </x:c>
      <x:c r="N995" s="133" t="n">
        <x:v>9.803921568627452</x:v>
      </x:c>
      <x:c r="O995" s="133" t="n">
        <x:v>9.62962962962963</x:v>
      </x:c>
      <x:c r="P995" s="132"/>
    </x:row>
    <x:row r="996">
      <x:c r="A996" s="136" t="str">
        <x:v>01079979700</x:v>
      </x:c>
      <x:c r="B996" s="132" t="str">
        <x:v>Lawrence County</x:v>
      </x:c>
      <x:c r="C996" s="132" t="n">
        <x:v>0</x:v>
      </x:c>
      <x:c r="D996" s="134" t="n">
        <x:v>1990</x:v>
      </x:c>
      <x:c r="E996" s="133" t="n">
        <x:v>13.1</x:v>
      </x:c>
      <x:c r="F996" s="134" t="n">
        <x:v>1533</x:v>
      </x:c>
      <x:c r="G996" s="134" t="n">
        <x:v>0</x:v>
      </x:c>
      <x:c r="H996" s="134" t="n">
        <x:v>84</x:v>
      </x:c>
      <x:c r="I996" s="134" t="n">
        <x:v>64</x:v>
      </x:c>
      <x:c r="J996" s="133" t="n">
        <x:v>4.221105527638191</x:v>
      </x:c>
      <x:c r="K996" s="133" t="n">
        <x:v>4.174820613176777</x:v>
      </x:c>
      <x:c r="L996" s="133" t="n">
        <x:v>4.215456674473068</x:v>
      </x:c>
      <x:c r="M996" s="133" t="n">
        <x:v>4.129793510324483</x:v>
      </x:c>
      <x:c r="N996" s="133" t="n">
        <x:v>3.4482758620689653</x:v>
      </x:c>
      <x:c r="O996" s="133" t="n">
        <x:v>4.444444444444445</x:v>
      </x:c>
      <x:c r="P996" s="132"/>
    </x:row>
    <x:row r="997">
      <x:c r="A997" s="136" t="str">
        <x:v>01045020100</x:v>
      </x:c>
      <x:c r="B997" s="132" t="str">
        <x:v>Dale County</x:v>
      </x:c>
      <x:c r="C997" s="132" t="n">
        <x:v>0</x:v>
      </x:c>
      <x:c r="D997" s="134" t="n">
        <x:v>3911</x:v>
      </x:c>
      <x:c r="E997" s="133" t="n">
        <x:v>15</x:v>
      </x:c>
      <x:c r="F997" s="134" t="n">
        <x:v>2272</x:v>
      </x:c>
      <x:c r="G997" s="134" t="n">
        <x:v>0</x:v>
      </x:c>
      <x:c r="H997" s="134" t="n">
        <x:v>112</x:v>
      </x:c>
      <x:c r="I997" s="134" t="n">
        <x:v>65</x:v>
      </x:c>
      <x:c r="J997" s="133" t="n">
        <x:v>2.863717719253388</x:v>
      </x:c>
      <x:c r="K997" s="133" t="n">
        <x:v>2.8609154929577465</x:v>
      </x:c>
      <x:c r="L997" s="133" t="n">
        <x:v>2.8360049321824907</x:v>
      </x:c>
      <x:c r="M997" s="133" t="n">
        <x:v>2.871410736579276</x:v>
      </x:c>
      <x:c r="N997" s="133" t="n">
        <x:v>3.260869565217391</x:v>
      </x:c>
      <x:c r="O997" s="133" t="n">
        <x:v>2.9914529914529915</x:v>
      </x:c>
      <x:c r="P997" s="132"/>
    </x:row>
    <x:row r="998">
      <x:c r="A998" s="136" t="str">
        <x:v>01013953500</x:v>
      </x:c>
      <x:c r="B998" s="132" t="str">
        <x:v>Butler County</x:v>
      </x:c>
      <x:c r="C998" s="132" t="n">
        <x:v>0</x:v>
      </x:c>
      <x:c r="D998" s="134" t="n">
        <x:v>1319</x:v>
      </x:c>
      <x:c r="E998" s="133" t="n">
        <x:v>10.7</x:v>
      </x:c>
      <x:c r="F998" s="134" t="n">
        <x:v>923</x:v>
      </x:c>
      <x:c r="G998" s="134" t="n">
        <x:v>0</x:v>
      </x:c>
      <x:c r="H998" s="134" t="n">
        <x:v>94</x:v>
      </x:c>
      <x:c r="I998" s="134" t="n">
        <x:v>66</x:v>
      </x:c>
      <x:c r="J998" s="133" t="n">
        <x:v>7.12661106899166</x:v>
      </x:c>
      <x:c r="K998" s="133" t="n">
        <x:v>7.150595882990249</x:v>
      </x:c>
      <x:c r="L998" s="133" t="n">
        <x:v>7.213114754098361</x:v>
      </x:c>
      <x:c r="M998" s="133" t="n">
        <x:v>7.213114754098361</x:v>
      </x:c>
      <x:c r="N998" s="133" t="n">
        <x:v>8.333333333333334</x:v>
      </x:c>
      <x:c r="O998" s="133" t="n">
        <x:v>6.779661016949152</x:v>
      </x:c>
      <x:c r="P998" s="132"/>
    </x:row>
    <x:row r="999">
      <x:c r="A999" s="136" t="str">
        <x:v>01073000400</x:v>
      </x:c>
      <x:c r="B999" s="132" t="str">
        <x:v>Jefferson County</x:v>
      </x:c>
      <x:c r="C999" s="132" t="n">
        <x:v>1</x:v>
      </x:c>
      <x:c r="D999" s="134" t="n">
        <x:v>2912</x:v>
      </x:c>
      <x:c r="E999" s="133" t="n">
        <x:v>28.9</x:v>
      </x:c>
      <x:c r="F999" s="134" t="n">
        <x:v>1436</x:v>
      </x:c>
      <x:c r="G999" s="134" t="n">
        <x:v>0</x:v>
      </x:c>
      <x:c r="H999" s="134" t="n">
        <x:v>135</x:v>
      </x:c>
      <x:c r="I999" s="134" t="n">
        <x:v>66</x:v>
      </x:c>
      <x:c r="J999" s="133" t="n">
        <x:v>4.635989010989011</x:v>
      </x:c>
      <x:c r="K999" s="133" t="n">
        <x:v>4.596100278551532</x:v>
      </x:c>
      <x:c r="L999" s="133" t="n">
        <x:v>4.584527220630372</x:v>
      </x:c>
      <x:c r="M999" s="133" t="n">
        <x:v>4.578313253012048</x:v>
      </x:c>
      <x:c r="N999" s="133" t="n">
        <x:v>4.615384615384615</x:v>
      </x:c>
      <x:c r="O999" s="133" t="n">
        <x:v>4.533333333333333</x:v>
      </x:c>
      <x:c r="P999" s="132"/>
    </x:row>
    <x:row r="1000">
      <x:c r="A1000" s="136" t="str">
        <x:v>01073014106</x:v>
      </x:c>
      <x:c r="B1000" s="132" t="str">
        <x:v>Jefferson County</x:v>
      </x:c>
      <x:c r="C1000" s="132" t="n">
        <x:v>0</x:v>
      </x:c>
      <x:c r="D1000" s="134" t="n">
        <x:v>3002</x:v>
      </x:c>
      <x:c r="E1000" s="133" t="n">
        <x:v>4.6</x:v>
      </x:c>
      <x:c r="F1000" s="134" t="n">
        <x:v>3076</x:v>
      </x:c>
      <x:c r="G1000" s="134" t="n">
        <x:v>0</x:v>
      </x:c>
      <x:c r="H1000" s="134" t="n">
        <x:v>65</x:v>
      </x:c>
      <x:c r="I1000" s="134" t="n">
        <x:v>67</x:v>
      </x:c>
      <x:c r="J1000" s="133" t="n">
        <x:v>2.1652231845436374</x:v>
      </x:c>
      <x:c r="K1000" s="133" t="n">
        <x:v>2.1781534460338103</x:v>
      </x:c>
      <x:c r="L1000" s="133" t="n">
        <x:v>2.2151898734177213</x:v>
      </x:c>
      <x:c r="M1000" s="133" t="n">
        <x:v>2.147239263803681</x:v>
      </x:c>
      <x:c r="N1000" s="133"/>
      <x:c r="O1000" s="133" t="n">
        <x:v>1.8518518518518519</x:v>
      </x:c>
      <x:c r="P1000" s="132"/>
    </x:row>
    <x:row r="1001">
      <x:c r="A1001" s="136" t="str">
        <x:v>01101005606</x:v>
      </x:c>
      <x:c r="B1001" s="132" t="str">
        <x:v>Montgomery County</x:v>
      </x:c>
      <x:c r="C1001" s="132" t="n">
        <x:v>1</x:v>
      </x:c>
      <x:c r="D1001" s="134" t="n">
        <x:v>4770</x:v>
      </x:c>
      <x:c r="E1001" s="133" t="n">
        <x:v>38</x:v>
      </x:c>
      <x:c r="F1001" s="134" t="n">
        <x:v>2325</x:v>
      </x:c>
      <x:c r="G1001" s="134" t="n">
        <x:v>0</x:v>
      </x:c>
      <x:c r="H1001" s="134" t="n">
        <x:v>137</x:v>
      </x:c>
      <x:c r="I1001" s="134" t="n">
        <x:v>67</x:v>
      </x:c>
      <x:c r="J1001" s="133" t="n">
        <x:v>2.8721174004192873</x:v>
      </x:c>
      <x:c r="K1001" s="133" t="n">
        <x:v>2.881720430107527</x:v>
      </x:c>
      <x:c r="L1001" s="133" t="n">
        <x:v>2.8962188254223653</x:v>
      </x:c>
      <x:c r="M1001" s="133" t="n">
        <x:v>2.839756592292089</x:v>
      </x:c>
      <x:c r="N1001" s="133" t="n">
        <x:v>2.9940119760479043</x:v>
      </x:c>
      <x:c r="O1001" s="133" t="n">
        <x:v>2.8268551236749118</x:v>
      </x:c>
      <x:c r="P1001" s="132"/>
    </x:row>
    <x:row r="1002">
      <x:c r="A1002" s="136" t="str">
        <x:v>01071951102</x:v>
      </x:c>
      <x:c r="B1002" s="132" t="str">
        <x:v>Jackson County</x:v>
      </x:c>
      <x:c r="C1002" s="132" t="n">
        <x:v>0</x:v>
      </x:c>
      <x:c r="D1002" s="134" t="n">
        <x:v>2876</x:v>
      </x:c>
      <x:c r="E1002" s="133" t="n">
        <x:v>12.3</x:v>
      </x:c>
      <x:c r="F1002" s="134" t="n">
        <x:v>1525</x:v>
      </x:c>
      <x:c r="G1002" s="134" t="n">
        <x:v>0</x:v>
      </x:c>
      <x:c r="H1002" s="134" t="n">
        <x:v>128</x:v>
      </x:c>
      <x:c r="I1002" s="134" t="n">
        <x:v>68</x:v>
      </x:c>
      <x:c r="J1002" s="133" t="n">
        <x:v>4.450625869262865</x:v>
      </x:c>
      <x:c r="K1002" s="133" t="n">
        <x:v>4.459016393442623</x:v>
      </x:c>
      <x:c r="L1002" s="133" t="n">
        <x:v>4.378283712784588</x:v>
      </x:c>
      <x:c r="M1002" s="133" t="n">
        <x:v>4.430379746835443</x:v>
      </x:c>
      <x:c r="N1002" s="133" t="n">
        <x:v>3.4482758620689653</x:v>
      </x:c>
      <x:c r="O1002" s="133" t="n">
        <x:v>4.587155963302752</x:v>
      </x:c>
      <x:c r="P1002" s="132"/>
    </x:row>
    <x:row r="1003">
      <x:c r="A1003" s="136" t="str">
        <x:v>01073014107</x:v>
      </x:c>
      <x:c r="B1003" s="132" t="str">
        <x:v>Jefferson County</x:v>
      </x:c>
      <x:c r="C1003" s="132" t="n">
        <x:v>0</x:v>
      </x:c>
      <x:c r="D1003" s="134" t="n">
        <x:v>2093</x:v>
      </x:c>
      <x:c r="E1003" s="133" t="n">
        <x:v>6.2</x:v>
      </x:c>
      <x:c r="F1003" s="134" t="n">
        <x:v>1531</x:v>
      </x:c>
      <x:c r="G1003" s="134" t="n">
        <x:v>0</x:v>
      </x:c>
      <x:c r="H1003" s="134" t="n">
        <x:v>93</x:v>
      </x:c>
      <x:c r="I1003" s="134" t="n">
        <x:v>68</x:v>
      </x:c>
      <x:c r="J1003" s="133" t="n">
        <x:v>4.4433827042522696</x:v>
      </x:c>
      <x:c r="K1003" s="133" t="n">
        <x:v>4.441541476159373</x:v>
      </x:c>
      <x:c r="L1003" s="133" t="n">
        <x:v>4.502369668246446</x:v>
      </x:c>
      <x:c r="M1003" s="133" t="n">
        <x:v>4.5673076923076925</x:v>
      </x:c>
      <x:c r="N1003" s="133" t="n">
        <x:v>0</x:v>
      </x:c>
      <x:c r="O1003" s="133" t="n">
        <x:v>4.545454545454546</x:v>
      </x:c>
      <x:c r="P1003" s="132"/>
    </x:row>
    <x:row r="1004">
      <x:c r="A1004" s="136" t="str">
        <x:v>01101000400</x:v>
      </x:c>
      <x:c r="B1004" s="132" t="str">
        <x:v>Montgomery County</x:v>
      </x:c>
      <x:c r="C1004" s="132" t="n">
        <x:v>1</x:v>
      </x:c>
      <x:c r="D1004" s="134" t="n">
        <x:v>4267</x:v>
      </x:c>
      <x:c r="E1004" s="133" t="n">
        <x:v>40.1</x:v>
      </x:c>
      <x:c r="F1004" s="134" t="n">
        <x:v>1051</x:v>
      </x:c>
      <x:c r="G1004" s="134" t="n">
        <x:v>0</x:v>
      </x:c>
      <x:c r="H1004" s="134" t="n">
        <x:v>283</x:v>
      </x:c>
      <x:c r="I1004" s="134" t="n">
        <x:v>70</x:v>
      </x:c>
      <x:c r="J1004" s="133" t="n">
        <x:v>6.63229435200375</x:v>
      </x:c>
      <x:c r="K1004" s="133" t="n">
        <x:v>6.660323501427212</x:v>
      </x:c>
      <x:c r="L1004" s="133" t="n">
        <x:v>6.6259808195292065</x:v>
      </x:c>
      <x:c r="M1004" s="133" t="n">
        <x:v>6.6455696202531644</x:v>
      </x:c>
      <x:c r="N1004" s="133" t="n">
        <x:v>6.557377049180328</x:v>
      </x:c>
      <x:c r="O1004" s="133" t="n">
        <x:v>6.593406593406593</x:v>
      </x:c>
      <x:c r="P1004" s="132"/>
    </x:row>
    <x:row r="1005">
      <x:c r="A1005" s="136" t="str">
        <x:v>01101002902</x:v>
      </x:c>
      <x:c r="B1005" s="132" t="str">
        <x:v>Montgomery County</x:v>
      </x:c>
      <x:c r="C1005" s="132" t="n">
        <x:v>1</x:v>
      </x:c>
      <x:c r="D1005" s="134" t="n">
        <x:v>3875</x:v>
      </x:c>
      <x:c r="E1005" s="133" t="n">
        <x:v>33.7</x:v>
      </x:c>
      <x:c r="F1005" s="134" t="n">
        <x:v>2128</x:v>
      </x:c>
      <x:c r="G1005" s="134" t="n">
        <x:v>0</x:v>
      </x:c>
      <x:c r="H1005" s="134" t="n">
        <x:v>128</x:v>
      </x:c>
      <x:c r="I1005" s="134" t="n">
        <x:v>70</x:v>
      </x:c>
      <x:c r="J1005" s="133" t="n">
        <x:v>3.303225806451613</x:v>
      </x:c>
      <x:c r="K1005" s="133" t="n">
        <x:v>3.289473684210526</x:v>
      </x:c>
      <x:c r="L1005" s="133" t="n">
        <x:v>3.2769556025369977</x:v>
      </x:c>
      <x:c r="M1005" s="133" t="n">
        <x:v>3.252032520325203</x:v>
      </x:c>
      <x:c r="N1005" s="133" t="n">
        <x:v>3.488372093023256</x:v>
      </x:c>
      <x:c r="O1005" s="133" t="n">
        <x:v>3.236245954692557</x:v>
      </x:c>
      <x:c r="P1005" s="132"/>
    </x:row>
    <x:row r="1006">
      <x:c r="A1006" s="136" t="str">
        <x:v>01101005904</x:v>
      </x:c>
      <x:c r="B1006" s="132" t="str">
        <x:v>Montgomery County</x:v>
      </x:c>
      <x:c r="C1006" s="132" t="n">
        <x:v>0</x:v>
      </x:c>
      <x:c r="D1006" s="134" t="n">
        <x:v>2369</x:v>
      </x:c>
      <x:c r="E1006" s="133" t="n">
        <x:v>14.9</x:v>
      </x:c>
      <x:c r="F1006" s="134" t="n">
        <x:v>1825</x:v>
      </x:c>
      <x:c r="G1006" s="134" t="n">
        <x:v>0</x:v>
      </x:c>
      <x:c r="H1006" s="134" t="n">
        <x:v>91</x:v>
      </x:c>
      <x:c r="I1006" s="134" t="n">
        <x:v>70</x:v>
      </x:c>
      <x:c r="J1006" s="133" t="n">
        <x:v>3.8412832418742084</x:v>
      </x:c>
      <x:c r="K1006" s="133" t="n">
        <x:v>3.835616438356164</x:v>
      </x:c>
      <x:c r="L1006" s="133" t="n">
        <x:v>3.8901601830663615</x:v>
      </x:c>
      <x:c r="M1006" s="133" t="n">
        <x:v>3.8461538461538463</x:v>
      </x:c>
      <x:c r="N1006" s="133" t="n">
        <x:v>4.411764705882353</x:v>
      </x:c>
      <x:c r="O1006" s="133" t="n">
        <x:v>3.9682539682539684</x:v>
      </x:c>
      <x:c r="P1006" s="132"/>
    </x:row>
    <x:row r="1007">
      <x:c r="A1007" s="136" t="str">
        <x:v>01113031100</x:v>
      </x:c>
      <x:c r="B1007" s="132" t="str">
        <x:v>Russell County</x:v>
      </x:c>
      <x:c r="C1007" s="132" t="n">
        <x:v>0</x:v>
      </x:c>
      <x:c r="D1007" s="134" t="n">
        <x:v>1539</x:v>
      </x:c>
      <x:c r="E1007" s="133" t="n">
        <x:v>17.6</x:v>
      </x:c>
      <x:c r="F1007" s="134" t="n">
        <x:v>776</x:v>
      </x:c>
      <x:c r="G1007" s="134" t="n">
        <x:v>0</x:v>
      </x:c>
      <x:c r="H1007" s="134" t="n">
        <x:v>139</x:v>
      </x:c>
      <x:c r="I1007" s="134" t="n">
        <x:v>70</x:v>
      </x:c>
      <x:c r="J1007" s="133" t="n">
        <x:v>9.03183885640026</x:v>
      </x:c>
      <x:c r="K1007" s="133" t="n">
        <x:v>9.02061855670103</x:v>
      </x:c>
      <x:c r="L1007" s="133" t="n">
        <x:v>8.979591836734693</x:v>
      </x:c>
      <x:c r="M1007" s="133" t="n">
        <x:v>9.112709832134293</x:v>
      </x:c>
      <x:c r="N1007" s="133" t="n">
        <x:v>9.333333333333334</x:v>
      </x:c>
      <x:c r="O1007" s="133" t="n">
        <x:v>9.13978494623656</x:v>
      </x:c>
      <x:c r="P1007" s="132"/>
    </x:row>
    <x:row r="1008">
      <x:c r="A1008" s="136" t="str">
        <x:v>01071950601</x:v>
      </x:c>
      <x:c r="B1008" s="132" t="str">
        <x:v>Jackson County</x:v>
      </x:c>
      <x:c r="C1008" s="132" t="n">
        <x:v>0</x:v>
      </x:c>
      <x:c r="D1008" s="134" t="n">
        <x:v>3109</x:v>
      </x:c>
      <x:c r="E1008" s="133" t="n">
        <x:v>11.2</x:v>
      </x:c>
      <x:c r="F1008" s="134" t="n">
        <x:v>1981</x:v>
      </x:c>
      <x:c r="G1008" s="134" t="n">
        <x:v>0</x:v>
      </x:c>
      <x:c r="H1008" s="134" t="n">
        <x:v>112</x:v>
      </x:c>
      <x:c r="I1008" s="134" t="n">
        <x:v>71</x:v>
      </x:c>
      <x:c r="J1008" s="133" t="n">
        <x:v>3.602444515921518</x:v>
      </x:c>
      <x:c r="K1008" s="133" t="n">
        <x:v>3.5840484603735487</x:v>
      </x:c>
      <x:c r="L1008" s="133" t="n">
        <x:v>3.583617747440273</x:v>
      </x:c>
      <x:c r="M1008" s="133" t="n">
        <x:v>3.6741214057507987</x:v>
      </x:c>
      <x:c r="N1008" s="133" t="n">
        <x:v>4.081632653061225</x:v>
      </x:c>
      <x:c r="O1008" s="133" t="n">
        <x:v>3.827751196172249</x:v>
      </x:c>
      <x:c r="P1008" s="132"/>
    </x:row>
    <x:row r="1009">
      <x:c r="A1009" s="136" t="str">
        <x:v>01071950500</x:v>
      </x:c>
      <x:c r="B1009" s="132" t="str">
        <x:v>Jackson County</x:v>
      </x:c>
      <x:c r="C1009" s="132" t="n">
        <x:v>0</x:v>
      </x:c>
      <x:c r="D1009" s="134" t="n">
        <x:v>3416</x:v>
      </x:c>
      <x:c r="E1009" s="133" t="n">
        <x:v>12.8</x:v>
      </x:c>
      <x:c r="F1009" s="134" t="n">
        <x:v>2076</x:v>
      </x:c>
      <x:c r="G1009" s="134" t="n">
        <x:v>0</x:v>
      </x:c>
      <x:c r="H1009" s="134" t="n">
        <x:v>118</x:v>
      </x:c>
      <x:c r="I1009" s="134" t="n">
        <x:v>72</x:v>
      </x:c>
      <x:c r="J1009" s="133" t="n">
        <x:v>3.4543325526932085</x:v>
      </x:c>
      <x:c r="K1009" s="133" t="n">
        <x:v>3.468208092485549</x:v>
      </x:c>
      <x:c r="L1009" s="133" t="n">
        <x:v>3.453038674033149</x:v>
      </x:c>
      <x:c r="M1009" s="133" t="n">
        <x:v>3.468208092485549</x:v>
      </x:c>
      <x:c r="N1009" s="133" t="n">
        <x:v>6.666666666666667</x:v>
      </x:c>
      <x:c r="O1009" s="133" t="n">
        <x:v>3.816793893129771</x:v>
      </x:c>
      <x:c r="P1009" s="132"/>
    </x:row>
    <x:row r="1010">
      <x:c r="A1010" s="136" t="str">
        <x:v>01047956900</x:v>
      </x:c>
      <x:c r="B1010" s="132" t="str">
        <x:v>Dallas County</x:v>
      </x:c>
      <x:c r="C1010" s="132" t="n">
        <x:v>0</x:v>
      </x:c>
      <x:c r="D1010" s="134" t="n">
        <x:v>2303</x:v>
      </x:c>
      <x:c r="E1010" s="133" t="n">
        <x:v>45</x:v>
      </x:c>
      <x:c r="F1010" s="134" t="n">
        <x:v>793</x:v>
      </x:c>
      <x:c r="G1010" s="134" t="n">
        <x:v>0</x:v>
      </x:c>
      <x:c r="H1010" s="134" t="n">
        <x:v>213</x:v>
      </x:c>
      <x:c r="I1010" s="134" t="n">
        <x:v>73</x:v>
      </x:c>
      <x:c r="J1010" s="133" t="n">
        <x:v>9.24880590534086</x:v>
      </x:c>
      <x:c r="K1010" s="133" t="n">
        <x:v>9.205548549810844</x:v>
      </x:c>
      <x:c r="L1010" s="133" t="n">
        <x:v>9.23076923076923</x:v>
      </x:c>
      <x:c r="M1010" s="133" t="n">
        <x:v>9.15032679738562</x:v>
      </x:c>
      <x:c r="N1010" s="133" t="n">
        <x:v>8.695652173913043</x:v>
      </x:c>
      <x:c r="O1010" s="133" t="n">
        <x:v>9.090909090909092</x:v>
      </x:c>
      <x:c r="P1010" s="132"/>
    </x:row>
    <x:row r="1011">
      <x:c r="A1011" s="136" t="str">
        <x:v>01055000500</x:v>
      </x:c>
      <x:c r="B1011" s="132" t="str">
        <x:v>Etowah County</x:v>
      </x:c>
      <x:c r="C1011" s="132" t="n">
        <x:v>1</x:v>
      </x:c>
      <x:c r="D1011" s="134" t="n">
        <x:v>1810</x:v>
      </x:c>
      <x:c r="E1011" s="133" t="n">
        <x:v>27.9</x:v>
      </x:c>
      <x:c r="F1011" s="134" t="n">
        <x:v>1025</x:v>
      </x:c>
      <x:c r="G1011" s="134" t="n">
        <x:v>0</x:v>
      </x:c>
      <x:c r="H1011" s="134" t="n">
        <x:v>129</x:v>
      </x:c>
      <x:c r="I1011" s="134" t="n">
        <x:v>73</x:v>
      </x:c>
      <x:c r="J1011" s="133" t="n">
        <x:v>7.12707182320442</x:v>
      </x:c>
      <x:c r="K1011" s="133" t="n">
        <x:v>7.121951219512195</x:v>
      </x:c>
      <x:c r="L1011" s="133" t="n">
        <x:v>7.174887892376682</x:v>
      </x:c>
      <x:c r="M1011" s="133" t="n">
        <x:v>7.168458781362007</x:v>
      </x:c>
      <x:c r="N1011" s="133" t="n">
        <x:v>8</x:v>
      </x:c>
      <x:c r="O1011" s="133" t="n">
        <x:v>6.666666666666667</x:v>
      </x:c>
      <x:c r="P1011" s="132"/>
    </x:row>
    <x:row r="1012">
      <x:c r="A1012" s="136" t="str">
        <x:v>01073011804</x:v>
      </x:c>
      <x:c r="B1012" s="132" t="str">
        <x:v>Jefferson County</x:v>
      </x:c>
      <x:c r="C1012" s="132" t="n">
        <x:v>1</x:v>
      </x:c>
      <x:c r="D1012" s="134" t="n">
        <x:v>2987</x:v>
      </x:c>
      <x:c r="E1012" s="133" t="n">
        <x:v>17.6</x:v>
      </x:c>
      <x:c r="F1012" s="134" t="n">
        <x:v>1918</x:v>
      </x:c>
      <x:c r="G1012" s="134" t="n">
        <x:v>0</x:v>
      </x:c>
      <x:c r="H1012" s="134" t="n">
        <x:v>113</x:v>
      </x:c>
      <x:c r="I1012" s="134" t="n">
        <x:v>73</x:v>
      </x:c>
      <x:c r="J1012" s="133" t="n">
        <x:v>3.783059926347506</x:v>
      </x:c>
      <x:c r="K1012" s="133" t="n">
        <x:v>3.8060479666319083</x:v>
      </x:c>
      <x:c r="L1012" s="133" t="n">
        <x:v>3.8412291933418694</x:v>
      </x:c>
      <x:c r="M1012" s="133" t="n">
        <x:v>3.8461538461538463</x:v>
      </x:c>
      <x:c r="N1012" s="133" t="n">
        <x:v>4.25531914893617</x:v>
      </x:c>
      <x:c r="O1012" s="133" t="n">
        <x:v>3.7735849056603774</x:v>
      </x:c>
      <x:c r="P1012" s="132"/>
    </x:row>
    <x:row r="1013">
      <x:c r="A1013" s="136" t="str">
        <x:v>01017953800</x:v>
      </x:c>
      <x:c r="B1013" s="132" t="str">
        <x:v>Chambers County</x:v>
      </x:c>
      <x:c r="C1013" s="132" t="n">
        <x:v>0</x:v>
      </x:c>
      <x:c r="D1013" s="134" t="n">
        <x:v>3156</x:v>
      </x:c>
      <x:c r="E1013" s="133" t="n">
        <x:v>24.3</x:v>
      </x:c>
      <x:c r="F1013" s="134" t="n">
        <x:v>2154</x:v>
      </x:c>
      <x:c r="G1013" s="134" t="n">
        <x:v>0</x:v>
      </x:c>
      <x:c r="H1013" s="134" t="n">
        <x:v>109</x:v>
      </x:c>
      <x:c r="I1013" s="134" t="n">
        <x:v>74</x:v>
      </x:c>
      <x:c r="J1013" s="133" t="n">
        <x:v>3.453738910012674</x:v>
      </x:c>
      <x:c r="K1013" s="133" t="n">
        <x:v>3.4354688950789227</x:v>
      </x:c>
      <x:c r="L1013" s="133" t="n">
        <x:v>3.5164835164835164</x:v>
      </x:c>
      <x:c r="M1013" s="133" t="n">
        <x:v>3.3936651583710407</x:v>
      </x:c>
      <x:c r="N1013" s="133" t="n">
        <x:v>4.109589041095891</x:v>
      </x:c>
      <x:c r="O1013" s="133" t="n">
        <x:v>3.5294117647058822</x:v>
      </x:c>
      <x:c r="P1013" s="132"/>
    </x:row>
    <x:row r="1014">
      <x:c r="A1014" s="136" t="str">
        <x:v>01095030302</x:v>
      </x:c>
      <x:c r="B1014" s="132" t="str">
        <x:v>Marshall County</x:v>
      </x:c>
      <x:c r="C1014" s="132" t="n">
        <x:v>0</x:v>
      </x:c>
      <x:c r="D1014" s="134" t="n">
        <x:v>4363</x:v>
      </x:c>
      <x:c r="E1014" s="133" t="n">
        <x:v>8.2</x:v>
      </x:c>
      <x:c r="F1014" s="134" t="n">
        <x:v>3482</x:v>
      </x:c>
      <x:c r="G1014" s="134" t="n">
        <x:v>0</x:v>
      </x:c>
      <x:c r="H1014" s="134" t="n">
        <x:v>95</x:v>
      </x:c>
      <x:c r="I1014" s="134" t="n">
        <x:v>76</x:v>
      </x:c>
      <x:c r="J1014" s="133" t="n">
        <x:v>2.1774008709603483</x:v>
      </x:c>
      <x:c r="K1014" s="133" t="n">
        <x:v>2.182653647329121</x:v>
      </x:c>
      <x:c r="L1014" s="133" t="n">
        <x:v>2.1352313167259784</x:v>
      </x:c>
      <x:c r="M1014" s="133" t="n">
        <x:v>2.215508559919436</x:v>
      </x:c>
      <x:c r="N1014" s="133" t="n">
        <x:v>2.7027027027027026</x:v>
      </x:c>
      <x:c r="O1014" s="133" t="n">
        <x:v>1.5625</x:v>
      </x:c>
      <x:c r="P1014" s="132"/>
    </x:row>
    <x:row r="1015">
      <x:c r="A1015" s="136" t="str">
        <x:v>01097002301</x:v>
      </x:c>
      <x:c r="B1015" s="132" t="str">
        <x:v>Mobile County</x:v>
      </x:c>
      <x:c r="C1015" s="132" t="n">
        <x:v>1</x:v>
      </x:c>
      <x:c r="D1015" s="134" t="n">
        <x:v>1897</x:v>
      </x:c>
      <x:c r="E1015" s="133" t="n">
        <x:v>21.3</x:v>
      </x:c>
      <x:c r="F1015" s="134" t="n">
        <x:v>1041</x:v>
      </x:c>
      <x:c r="G1015" s="134" t="n">
        <x:v>0</x:v>
      </x:c>
      <x:c r="H1015" s="134" t="n">
        <x:v>139</x:v>
      </x:c>
      <x:c r="I1015" s="134" t="n">
        <x:v>76</x:v>
      </x:c>
      <x:c r="J1015" s="133" t="n">
        <x:v>7.327358987875593</x:v>
      </x:c>
      <x:c r="K1015" s="133" t="n">
        <x:v>7.300672430355427</x:v>
      </x:c>
      <x:c r="L1015" s="133" t="n">
        <x:v>7.364341085271318</x:v>
      </x:c>
      <x:c r="M1015" s="133" t="n">
        <x:v>7.287449392712551</x:v>
      </x:c>
      <x:c r="N1015" s="133" t="n">
        <x:v>7.792207792207792</x:v>
      </x:c>
      <x:c r="O1015" s="133" t="n">
        <x:v>7.191780821917808</x:v>
      </x:c>
      <x:c r="P1015" s="132"/>
    </x:row>
    <x:row r="1016">
      <x:c r="A1016" s="136" t="str">
        <x:v>01121011900</x:v>
      </x:c>
      <x:c r="B1016" s="132" t="str">
        <x:v>Talladega County</x:v>
      </x:c>
      <x:c r="C1016" s="132" t="n">
        <x:v>1</x:v>
      </x:c>
      <x:c r="D1016" s="134" t="n">
        <x:v>2711</x:v>
      </x:c>
      <x:c r="E1016" s="133" t="n">
        <x:v>10.5</x:v>
      </x:c>
      <x:c r="F1016" s="134" t="n">
        <x:v>1451</x:v>
      </x:c>
      <x:c r="G1016" s="134" t="n">
        <x:v>0</x:v>
      </x:c>
      <x:c r="H1016" s="134" t="n">
        <x:v>141</x:v>
      </x:c>
      <x:c r="I1016" s="134" t="n">
        <x:v>76</x:v>
      </x:c>
      <x:c r="J1016" s="133" t="n">
        <x:v>5.201032829214312</x:v>
      </x:c>
      <x:c r="K1016" s="133" t="n">
        <x:v>5.23776705720193</x:v>
      </x:c>
      <x:c r="L1016" s="133" t="n">
        <x:v>5.2264808362369335</x:v>
      </x:c>
      <x:c r="M1016" s="133" t="n">
        <x:v>5.28169014084507</x:v>
      </x:c>
      <x:c r="N1016" s="133" t="n">
        <x:v>3.7037037037037037</x:v>
      </x:c>
      <x:c r="O1016" s="133" t="n">
        <x:v>5.454545454545454</x:v>
      </x:c>
      <x:c r="P1016" s="132"/>
    </x:row>
    <x:row r="1017">
      <x:c r="A1017" s="136" t="str">
        <x:v>01041963600</x:v>
      </x:c>
      <x:c r="B1017" s="132" t="str">
        <x:v>Crenshaw County</x:v>
      </x:c>
      <x:c r="C1017" s="132" t="n">
        <x:v>0</x:v>
      </x:c>
      <x:c r="D1017" s="134" t="n">
        <x:v>2829</x:v>
      </x:c>
      <x:c r="E1017" s="133" t="n">
        <x:v>14.4</x:v>
      </x:c>
      <x:c r="F1017" s="134" t="n">
        <x:v>1767</x:v>
      </x:c>
      <x:c r="G1017" s="134" t="n">
        <x:v>0</x:v>
      </x:c>
      <x:c r="H1017" s="134" t="n">
        <x:v>124</x:v>
      </x:c>
      <x:c r="I1017" s="134" t="n">
        <x:v>77</x:v>
      </x:c>
      <x:c r="J1017" s="133" t="n">
        <x:v>4.383174266525274</x:v>
      </x:c>
      <x:c r="K1017" s="133" t="n">
        <x:v>4.357668364459536</x:v>
      </x:c>
      <x:c r="L1017" s="133" t="n">
        <x:v>4.340836012861736</x:v>
      </x:c>
      <x:c r="M1017" s="133" t="n">
        <x:v>4.395604395604396</x:v>
      </x:c>
      <x:c r="N1017" s="133" t="n">
        <x:v>4.444444444444445</x:v>
      </x:c>
      <x:c r="O1017" s="133" t="n">
        <x:v>4.615384615384615</x:v>
      </x:c>
      <x:c r="P1017" s="132"/>
    </x:row>
    <x:row r="1018">
      <x:c r="A1018" s="136" t="str">
        <x:v>01085781100</x:v>
      </x:c>
      <x:c r="B1018" s="132" t="str">
        <x:v>Lowndes County</x:v>
      </x:c>
      <x:c r="C1018" s="132" t="n">
        <x:v>0</x:v>
      </x:c>
      <x:c r="D1018" s="134" t="n">
        <x:v>1535</x:v>
      </x:c>
      <x:c r="E1018" s="133" t="n">
        <x:v>48.5</x:v>
      </x:c>
      <x:c r="F1018" s="134" t="n">
        <x:v>405</x:v>
      </x:c>
      <x:c r="G1018" s="134" t="n">
        <x:v>0</x:v>
      </x:c>
      <x:c r="H1018" s="134" t="n">
        <x:v>292</x:v>
      </x:c>
      <x:c r="I1018" s="134" t="n">
        <x:v>77</x:v>
      </x:c>
      <x:c r="J1018" s="133" t="n">
        <x:v>19.022801302931597</x:v>
      </x:c>
      <x:c r="K1018" s="133" t="n">
        <x:v>19.012345679012345</x:v>
      </x:c>
      <x:c r="L1018" s="133" t="n">
        <x:v>18.902439024390244</x:v>
      </x:c>
      <x:c r="M1018" s="133" t="n">
        <x:v>18.983050847457626</x:v>
      </x:c>
      <x:c r="N1018" s="133" t="n">
        <x:v>17.647058823529413</x:v>
      </x:c>
      <x:c r="O1018" s="133" t="n">
        <x:v>18.91891891891892</x:v>
      </x:c>
      <x:c r="P1018" s="132"/>
    </x:row>
    <x:row r="1019">
      <x:c r="A1019" s="136" t="str">
        <x:v>01077010800</x:v>
      </x:c>
      <x:c r="B1019" s="132" t="str">
        <x:v>Lauderdale County</x:v>
      </x:c>
      <x:c r="C1019" s="132" t="n">
        <x:v>1</x:v>
      </x:c>
      <x:c r="D1019" s="134" t="n">
        <x:v>3670</x:v>
      </x:c>
      <x:c r="E1019" s="133" t="n">
        <x:v>26.4</x:v>
      </x:c>
      <x:c r="F1019" s="134" t="n">
        <x:v>1500</x:v>
      </x:c>
      <x:c r="G1019" s="134" t="n">
        <x:v>0</x:v>
      </x:c>
      <x:c r="H1019" s="134" t="n">
        <x:v>192</x:v>
      </x:c>
      <x:c r="I1019" s="134" t="n">
        <x:v>78</x:v>
      </x:c>
      <x:c r="J1019" s="133" t="n">
        <x:v>5.231607629427793</x:v>
      </x:c>
      <x:c r="K1019" s="133" t="n">
        <x:v>5.2</x:v>
      </x:c>
      <x:c r="L1019" s="133" t="n">
        <x:v>5.210643015521065</x:v>
      </x:c>
      <x:c r="M1019" s="133" t="n">
        <x:v>5.311355311355311</x:v>
      </x:c>
      <x:c r="N1019" s="133" t="n">
        <x:v>5.194805194805195</x:v>
      </x:c>
      <x:c r="O1019" s="133" t="n">
        <x:v>5.141388174807198</x:v>
      </x:c>
      <x:c r="P1019" s="132"/>
    </x:row>
    <x:row r="1020">
      <x:c r="A1020" s="136" t="str">
        <x:v>01055001300</x:v>
      </x:c>
      <x:c r="B1020" s="132" t="str">
        <x:v>Etowah County</x:v>
      </x:c>
      <x:c r="C1020" s="132" t="n">
        <x:v>1</x:v>
      </x:c>
      <x:c r="D1020" s="134" t="n">
        <x:v>2346</x:v>
      </x:c>
      <x:c r="E1020" s="133" t="n">
        <x:v>25.4</x:v>
      </x:c>
      <x:c r="F1020" s="134" t="n">
        <x:v>1162</x:v>
      </x:c>
      <x:c r="G1020" s="134" t="n">
        <x:v>0</x:v>
      </x:c>
      <x:c r="H1020" s="134" t="n">
        <x:v>160</x:v>
      </x:c>
      <x:c r="I1020" s="134" t="n">
        <x:v>79</x:v>
      </x:c>
      <x:c r="J1020" s="133" t="n">
        <x:v>6.820119352088661</x:v>
      </x:c>
      <x:c r="K1020" s="133" t="n">
        <x:v>6.798623063683305</x:v>
      </x:c>
      <x:c r="L1020" s="133" t="n">
        <x:v>6.747404844290657</x:v>
      </x:c>
      <x:c r="M1020" s="133" t="n">
        <x:v>6.7924528301886795</x:v>
      </x:c>
      <x:c r="N1020" s="133" t="n">
        <x:v>6.896551724137931</x:v>
      </x:c>
      <x:c r="O1020" s="133" t="n">
        <x:v>6.837606837606837</x:v>
      </x:c>
      <x:c r="P1020" s="132"/>
    </x:row>
    <x:row r="1021">
      <x:c r="A1021" s="136" t="str">
        <x:v>01005950400</x:v>
      </x:c>
      <x:c r="B1021" s="132" t="str">
        <x:v>Barbour County</x:v>
      </x:c>
      <x:c r="C1021" s="132" t="n">
        <x:v>0</x:v>
      </x:c>
      <x:c r="D1021" s="134" t="n">
        <x:v>3998</x:v>
      </x:c>
      <x:c r="E1021" s="133" t="n">
        <x:v>28.6</x:v>
      </x:c>
      <x:c r="F1021" s="134" t="n">
        <x:v>1124</x:v>
      </x:c>
      <x:c r="G1021" s="134" t="n">
        <x:v>0</x:v>
      </x:c>
      <x:c r="H1021" s="134" t="n">
        <x:v>285</x:v>
      </x:c>
      <x:c r="I1021" s="134" t="n">
        <x:v>80</x:v>
      </x:c>
      <x:c r="J1021" s="133" t="n">
        <x:v>7.12856428214107</x:v>
      </x:c>
      <x:c r="K1021" s="133" t="n">
        <x:v>7.117437722419929</x:v>
      </x:c>
      <x:c r="L1021" s="133" t="n">
        <x:v>7.052441229656419</x:v>
      </x:c>
      <x:c r="M1021" s="133" t="n">
        <x:v>7.174887892376682</x:v>
      </x:c>
      <x:c r="N1021" s="133" t="n">
        <x:v>7.2727272727272725</x:v>
      </x:c>
      <x:c r="O1021" s="133" t="n">
        <x:v>7.035175879396985</x:v>
      </x:c>
      <x:c r="P1021" s="132"/>
    </x:row>
    <x:row r="1022">
      <x:c r="A1022" s="136" t="str">
        <x:v>01023956700</x:v>
      </x:c>
      <x:c r="B1022" s="132" t="str">
        <x:v>Choctaw County</x:v>
      </x:c>
      <x:c r="C1022" s="132" t="n">
        <x:v>0</x:v>
      </x:c>
      <x:c r="D1022" s="134" t="n">
        <x:v>2783</x:v>
      </x:c>
      <x:c r="E1022" s="133" t="n">
        <x:v>22</x:v>
      </x:c>
      <x:c r="F1022" s="134" t="n">
        <x:v>1078</x:v>
      </x:c>
      <x:c r="G1022" s="134" t="n">
        <x:v>0</x:v>
      </x:c>
      <x:c r="H1022" s="134" t="n">
        <x:v>207</x:v>
      </x:c>
      <x:c r="I1022" s="134" t="n">
        <x:v>80</x:v>
      </x:c>
      <x:c r="J1022" s="133" t="n">
        <x:v>7.43801652892562</x:v>
      </x:c>
      <x:c r="K1022" s="133" t="n">
        <x:v>7.421150278293135</x:v>
      </x:c>
      <x:c r="L1022" s="133" t="n">
        <x:v>7.378640776699029</x:v>
      </x:c>
      <x:c r="M1022" s="133" t="n">
        <x:v>7.378335949764521</x:v>
      </x:c>
      <x:c r="N1022" s="133" t="n">
        <x:v>7.482993197278912</x:v>
      </x:c>
      <x:c r="O1022" s="133" t="n">
        <x:v>7.428571428571429</x:v>
      </x:c>
      <x:c r="P1022" s="132"/>
    </x:row>
    <x:row r="1023">
      <x:c r="A1023" s="136" t="str">
        <x:v>01057020300</x:v>
      </x:c>
      <x:c r="B1023" s="132" t="str">
        <x:v>Fayette County</x:v>
      </x:c>
      <x:c r="C1023" s="132" t="n">
        <x:v>0</x:v>
      </x:c>
      <x:c r="D1023" s="134" t="n">
        <x:v>3625</x:v>
      </x:c>
      <x:c r="E1023" s="133" t="n">
        <x:v>27.7</x:v>
      </x:c>
      <x:c r="F1023" s="134" t="n">
        <x:v>1879</x:v>
      </x:c>
      <x:c r="G1023" s="134" t="n">
        <x:v>0</x:v>
      </x:c>
      <x:c r="H1023" s="134" t="n">
        <x:v>154</x:v>
      </x:c>
      <x:c r="I1023" s="134" t="n">
        <x:v>80</x:v>
      </x:c>
      <x:c r="J1023" s="133" t="n">
        <x:v>4.248275862068965</x:v>
      </x:c>
      <x:c r="K1023" s="133" t="n">
        <x:v>4.25758382118148</x:v>
      </x:c>
      <x:c r="L1023" s="133" t="n">
        <x:v>4.216867469879518</x:v>
      </x:c>
      <x:c r="M1023" s="133" t="n">
        <x:v>4.177215189873418</x:v>
      </x:c>
      <x:c r="N1023" s="133" t="n">
        <x:v>4.093567251461988</x:v>
      </x:c>
      <x:c r="O1023" s="133" t="n">
        <x:v>4.18848167539267</x:v>
      </x:c>
      <x:c r="P1023" s="132"/>
    </x:row>
    <x:row r="1024">
      <x:c r="A1024" s="136" t="str">
        <x:v>01071950800</x:v>
      </x:c>
      <x:c r="B1024" s="132" t="str">
        <x:v>Jackson County</x:v>
      </x:c>
      <x:c r="C1024" s="132" t="n">
        <x:v>1</x:v>
      </x:c>
      <x:c r="D1024" s="134" t="n">
        <x:v>4135</x:v>
      </x:c>
      <x:c r="E1024" s="133" t="n">
        <x:v>24.7</x:v>
      </x:c>
      <x:c r="F1024" s="134" t="n">
        <x:v>2076</x:v>
      </x:c>
      <x:c r="G1024" s="134" t="n">
        <x:v>0</x:v>
      </x:c>
      <x:c r="H1024" s="134" t="n">
        <x:v>163</x:v>
      </x:c>
      <x:c r="I1024" s="134" t="n">
        <x:v>82</x:v>
      </x:c>
      <x:c r="J1024" s="133" t="n">
        <x:v>3.9419588875453444</x:v>
      </x:c>
      <x:c r="K1024" s="133" t="n">
        <x:v>3.94990366088632</x:v>
      </x:c>
      <x:c r="L1024" s="133" t="n">
        <x:v>3.9170506912442398</x:v>
      </x:c>
      <x:c r="M1024" s="133" t="n">
        <x:v>3.930131004366812</x:v>
      </x:c>
      <x:c r="N1024" s="133" t="n">
        <x:v>3.6363636363636362</x:v>
      </x:c>
      <x:c r="O1024" s="133" t="n">
        <x:v>3.8596491228070176</x:v>
      </x:c>
      <x:c r="P1024" s="132"/>
    </x:row>
    <x:row r="1025">
      <x:c r="A1025" s="136" t="str">
        <x:v>01089011027</x:v>
      </x:c>
      <x:c r="B1025" s="132" t="str">
        <x:v>Madison County</x:v>
      </x:c>
      <x:c r="C1025" s="132" t="n">
        <x:v>1</x:v>
      </x:c>
      <x:c r="D1025" s="134" t="n">
        <x:v>3105</x:v>
      </x:c>
      <x:c r="E1025" s="133" t="n">
        <x:v>5.7</x:v>
      </x:c>
      <x:c r="F1025" s="134" t="n">
        <x:v>2830</x:v>
      </x:c>
      <x:c r="G1025" s="134" t="n">
        <x:v>0</x:v>
      </x:c>
      <x:c r="H1025" s="134" t="n">
        <x:v>90</x:v>
      </x:c>
      <x:c r="I1025" s="134" t="n">
        <x:v>82</x:v>
      </x:c>
      <x:c r="J1025" s="133" t="n">
        <x:v>2.898550724637681</x:v>
      </x:c>
      <x:c r="K1025" s="133" t="n">
        <x:v>2.8975265017667846</x:v>
      </x:c>
      <x:c r="L1025" s="133" t="n">
        <x:v>2.936378466557912</x:v>
      </x:c>
      <x:c r="M1025" s="133" t="n">
        <x:v>2.932551319648094</x:v>
      </x:c>
      <x:c r="N1025" s="133" t="n">
        <x:v>0</x:v>
      </x:c>
      <x:c r="O1025" s="133" t="n">
        <x:v>2.6315789473684212</x:v>
      </x:c>
      <x:c r="P1025" s="132"/>
    </x:row>
    <x:row r="1026">
      <x:c r="A1026" s="136" t="str">
        <x:v>01097001200</x:v>
      </x:c>
      <x:c r="B1026" s="132" t="str">
        <x:v>Mobile County</x:v>
      </x:c>
      <x:c r="C1026" s="132" t="n">
        <x:v>1</x:v>
      </x:c>
      <x:c r="D1026" s="134" t="n">
        <x:v>2447</x:v>
      </x:c>
      <x:c r="E1026" s="133" t="n">
        <x:v>29.5</x:v>
      </x:c>
      <x:c r="F1026" s="134" t="n">
        <x:v>647</x:v>
      </x:c>
      <x:c r="G1026" s="134" t="n">
        <x:v>0</x:v>
      </x:c>
      <x:c r="H1026" s="134" t="n">
        <x:v>310</x:v>
      </x:c>
      <x:c r="I1026" s="134" t="n">
        <x:v>82</x:v>
      </x:c>
      <x:c r="J1026" s="133" t="n">
        <x:v>12.668573763792399</x:v>
      </x:c>
      <x:c r="K1026" s="133" t="n">
        <x:v>12.673879443585781</x:v>
      </x:c>
      <x:c r="L1026" s="133" t="n">
        <x:v>12.857142857142858</x:v>
      </x:c>
      <x:c r="M1026" s="133" t="n">
        <x:v>12.84046692607004</x:v>
      </x:c>
      <x:c r="N1026" s="133" t="n">
        <x:v>12.5</x:v>
      </x:c>
      <x:c r="O1026" s="133" t="n">
        <x:v>12.435233160621761</x:v>
      </x:c>
      <x:c r="P1026" s="132"/>
    </x:row>
    <x:row r="1027">
      <x:c r="A1027" s="136" t="str">
        <x:v>01067030100</x:v>
      </x:c>
      <x:c r="B1027" s="132" t="str">
        <x:v>Henry County</x:v>
      </x:c>
      <x:c r="C1027" s="132" t="n">
        <x:v>0</x:v>
      </x:c>
      <x:c r="D1027" s="134" t="n">
        <x:v>1675</x:v>
      </x:c>
      <x:c r="E1027" s="133" t="n">
        <x:v>31.8</x:v>
      </x:c>
      <x:c r="F1027" s="134" t="n">
        <x:v>840</x:v>
      </x:c>
      <x:c r="G1027" s="134" t="n">
        <x:v>0</x:v>
      </x:c>
      <x:c r="H1027" s="134" t="n">
        <x:v>166</x:v>
      </x:c>
      <x:c r="I1027" s="134" t="n">
        <x:v>83</x:v>
      </x:c>
      <x:c r="J1027" s="133" t="n">
        <x:v>9.91044776119403</x:v>
      </x:c>
      <x:c r="K1027" s="133" t="n">
        <x:v>9.880952380952381</x:v>
      </x:c>
      <x:c r="L1027" s="133" t="n">
        <x:v>10.064935064935066</x:v>
      </x:c>
      <x:c r="M1027" s="133" t="n">
        <x:v>9.90783410138249</x:v>
      </x:c>
      <x:c r="N1027" s="133" t="n">
        <x:v>9.523809523809524</x:v>
      </x:c>
      <x:c r="O1027" s="133" t="n">
        <x:v>9.859154929577464</x:v>
      </x:c>
      <x:c r="P1027" s="132"/>
    </x:row>
    <x:row r="1028">
      <x:c r="A1028" s="136" t="str">
        <x:v>01097005500</x:v>
      </x:c>
      <x:c r="B1028" s="132" t="str">
        <x:v>Mobile County</x:v>
      </x:c>
      <x:c r="C1028" s="132" t="n">
        <x:v>1</x:v>
      </x:c>
      <x:c r="D1028" s="134" t="n">
        <x:v>3005</x:v>
      </x:c>
      <x:c r="E1028" s="133" t="n">
        <x:v>19.4</x:v>
      </x:c>
      <x:c r="F1028" s="134" t="n">
        <x:v>1183</x:v>
      </x:c>
      <x:c r="G1028" s="134" t="n">
        <x:v>0</x:v>
      </x:c>
      <x:c r="H1028" s="134" t="n">
        <x:v>210</x:v>
      </x:c>
      <x:c r="I1028" s="134" t="n">
        <x:v>83</x:v>
      </x:c>
      <x:c r="J1028" s="133" t="n">
        <x:v>6.988352745424293</x:v>
      </x:c>
      <x:c r="K1028" s="133" t="n">
        <x:v>7.016060862214708</x:v>
      </x:c>
      <x:c r="L1028" s="133" t="n">
        <x:v>6.965174129353234</x:v>
      </x:c>
      <x:c r="M1028" s="133" t="n">
        <x:v>6.8893528183716075</x:v>
      </x:c>
      <x:c r="N1028" s="133" t="n">
        <x:v>7.079646017699115</x:v>
      </x:c>
      <x:c r="O1028" s="133" t="n">
        <x:v>6.926406926406926</x:v>
      </x:c>
      <x:c r="P1028" s="132"/>
    </x:row>
    <x:row r="1029">
      <x:c r="A1029" s="136" t="str">
        <x:v>01001021100</x:v>
      </x:c>
      <x:c r="B1029" s="132" t="str">
        <x:v>Autauga County</x:v>
      </x:c>
      <x:c r="C1029" s="132" t="n">
        <x:v>0</x:v>
      </x:c>
      <x:c r="D1029" s="134" t="n">
        <x:v>3185</x:v>
      </x:c>
      <x:c r="E1029" s="133" t="n">
        <x:v>20.1</x:v>
      </x:c>
      <x:c r="F1029" s="134" t="n">
        <x:v>1764</x:v>
      </x:c>
      <x:c r="G1029" s="134" t="n">
        <x:v>0</x:v>
      </x:c>
      <x:c r="H1029" s="134" t="n">
        <x:v>155</x:v>
      </x:c>
      <x:c r="I1029" s="134" t="n">
        <x:v>86</x:v>
      </x:c>
      <x:c r="J1029" s="133" t="n">
        <x:v>4.866562009419153</x:v>
      </x:c>
      <x:c r="K1029" s="133" t="n">
        <x:v>4.875283446712018</x:v>
      </x:c>
      <x:c r="L1029" s="133" t="n">
        <x:v>4.901960784313726</x:v>
      </x:c>
      <x:c r="M1029" s="133" t="n">
        <x:v>4.9079754601226995</x:v>
      </x:c>
      <x:c r="N1029" s="133" t="n">
        <x:v>5.084745762711864</x:v>
      </x:c>
      <x:c r="O1029" s="133" t="n">
        <x:v>4.878048780487805</x:v>
      </x:c>
      <x:c r="P1029" s="132"/>
    </x:row>
    <x:row r="1030">
      <x:c r="A1030" s="136" t="str">
        <x:v>01089000302</x:v>
      </x:c>
      <x:c r="B1030" s="132" t="str">
        <x:v>Madison County</x:v>
      </x:c>
      <x:c r="C1030" s="132" t="n">
        <x:v>1</x:v>
      </x:c>
      <x:c r="D1030" s="134" t="n">
        <x:v>3580</x:v>
      </x:c>
      <x:c r="E1030" s="133" t="n">
        <x:v>33.5</x:v>
      </x:c>
      <x:c r="F1030" s="134" t="n">
        <x:v>1868</x:v>
      </x:c>
      <x:c r="G1030" s="134" t="n">
        <x:v>0</x:v>
      </x:c>
      <x:c r="H1030" s="134" t="n">
        <x:v>166</x:v>
      </x:c>
      <x:c r="I1030" s="134" t="n">
        <x:v>86</x:v>
      </x:c>
      <x:c r="J1030" s="133" t="n">
        <x:v>4.636871508379889</x:v>
      </x:c>
      <x:c r="K1030" s="133" t="n">
        <x:v>4.6038543897216275</x:v>
      </x:c>
      <x:c r="L1030" s="133" t="n">
        <x:v>4.6255506607929515</x:v>
      </x:c>
      <x:c r="M1030" s="133" t="n">
        <x:v>4.693140794223827</x:v>
      </x:c>
      <x:c r="N1030" s="133" t="n">
        <x:v>7.6923076923076925</x:v>
      </x:c>
      <x:c r="O1030" s="133" t="n">
        <x:v>4.609929078014185</x:v>
      </x:c>
      <x:c r="P1030" s="132"/>
    </x:row>
    <x:row r="1031">
      <x:c r="A1031" s="136" t="str">
        <x:v>01073011806</x:v>
      </x:c>
      <x:c r="B1031" s="132" t="str">
        <x:v>Jefferson County</x:v>
      </x:c>
      <x:c r="C1031" s="132" t="n">
        <x:v>1</x:v>
      </x:c>
      <x:c r="D1031" s="134" t="n">
        <x:v>3651</x:v>
      </x:c>
      <x:c r="E1031" s="133" t="n">
        <x:v>20.7</x:v>
      </x:c>
      <x:c r="F1031" s="134" t="n">
        <x:v>1438</x:v>
      </x:c>
      <x:c r="G1031" s="134" t="n">
        <x:v>0</x:v>
      </x:c>
      <x:c r="H1031" s="134" t="n">
        <x:v>224</x:v>
      </x:c>
      <x:c r="I1031" s="134" t="n">
        <x:v>88</x:v>
      </x:c>
      <x:c r="J1031" s="133" t="n">
        <x:v>6.135305395781978</x:v>
      </x:c>
      <x:c r="K1031" s="133" t="n">
        <x:v>6.119610570236439</x:v>
      </x:c>
      <x:c r="L1031" s="133" t="n">
        <x:v>6.112702960840497</x:v>
      </x:c>
      <x:c r="M1031" s="133" t="n">
        <x:v>6.038647342995169</x:v>
      </x:c>
      <x:c r="N1031" s="133" t="n">
        <x:v>6.410256410256411</x:v>
      </x:c>
      <x:c r="O1031" s="133" t="n">
        <x:v>6.172839506172839</x:v>
      </x:c>
      <x:c r="P1031" s="132"/>
    </x:row>
    <x:row r="1032">
      <x:c r="A1032" s="136" t="str">
        <x:v>01099075800</x:v>
      </x:c>
      <x:c r="B1032" s="132" t="str">
        <x:v>Monroe County</x:v>
      </x:c>
      <x:c r="C1032" s="132" t="n">
        <x:v>0</x:v>
      </x:c>
      <x:c r="D1032" s="134" t="n">
        <x:v>1085</x:v>
      </x:c>
      <x:c r="E1032" s="133" t="n">
        <x:v>15.7</x:v>
      </x:c>
      <x:c r="F1032" s="134" t="n">
        <x:v>636</x:v>
      </x:c>
      <x:c r="G1032" s="134" t="n">
        <x:v>0</x:v>
      </x:c>
      <x:c r="H1032" s="134" t="n">
        <x:v>152</x:v>
      </x:c>
      <x:c r="I1032" s="134" t="n">
        <x:v>89</x:v>
      </x:c>
      <x:c r="J1032" s="133" t="n">
        <x:v>14.009216589861751</x:v>
      </x:c>
      <x:c r="K1032" s="133" t="n">
        <x:v>13.9937106918239</x:v>
      </x:c>
      <x:c r="L1032" s="133" t="n">
        <x:v>14.210526315789474</x:v>
      </x:c>
      <x:c r="M1032" s="133" t="n">
        <x:v>14.068441064638783</x:v>
      </x:c>
      <x:c r="N1032" s="133" t="n">
        <x:v>15.151515151515152</x:v>
      </x:c>
      <x:c r="O1032" s="133" t="n">
        <x:v>11.764705882352942</x:v>
      </x:c>
      <x:c r="P1032" s="132"/>
    </x:row>
    <x:row r="1033">
      <x:c r="A1033" s="136" t="str">
        <x:v>01007010008</x:v>
      </x:c>
      <x:c r="B1033" s="132" t="str">
        <x:v>Bibb County</x:v>
      </x:c>
      <x:c r="C1033" s="132" t="n">
        <x:v>0</x:v>
      </x:c>
      <x:c r="D1033" s="134" t="n">
        <x:v>2770</x:v>
      </x:c>
      <x:c r="E1033" s="133" t="n">
        <x:v>22.1</x:v>
      </x:c>
      <x:c r="F1033" s="134" t="n">
        <x:v>1596</x:v>
      </x:c>
      <x:c r="G1033" s="134" t="n">
        <x:v>0</x:v>
      </x:c>
      <x:c r="H1033" s="134" t="n">
        <x:v>156</x:v>
      </x:c>
      <x:c r="I1033" s="134" t="n">
        <x:v>90</x:v>
      </x:c>
      <x:c r="J1033" s="133" t="n">
        <x:v>5.631768953068592</x:v>
      </x:c>
      <x:c r="K1033" s="133" t="n">
        <x:v>5.639097744360902</x:v>
      </x:c>
      <x:c r="L1033" s="133" t="n">
        <x:v>5.638474295190713</x:v>
      </x:c>
      <x:c r="M1033" s="133" t="n">
        <x:v>5.714285714285714</x:v>
      </x:c>
      <x:c r="N1033" s="133" t="n">
        <x:v>5.645161290322581</x:v>
      </x:c>
      <x:c r="O1033" s="133" t="n">
        <x:v>5.579399141630901</x:v>
      </x:c>
      <x:c r="P1033" s="132"/>
    </x:row>
    <x:row r="1034">
      <x:c r="A1034" s="136" t="str">
        <x:v>01133965502</x:v>
      </x:c>
      <x:c r="B1034" s="132" t="str">
        <x:v>Winston County</x:v>
      </x:c>
      <x:c r="C1034" s="132" t="n">
        <x:v>0</x:v>
      </x:c>
      <x:c r="D1034" s="134" t="n">
        <x:v>2728</x:v>
      </x:c>
      <x:c r="E1034" s="133" t="n">
        <x:v>18.2</x:v>
      </x:c>
      <x:c r="F1034" s="134" t="n">
        <x:v>2193</x:v>
      </x:c>
      <x:c r="G1034" s="134" t="n">
        <x:v>0</x:v>
      </x:c>
      <x:c r="H1034" s="134" t="n">
        <x:v>113</x:v>
      </x:c>
      <x:c r="I1034" s="134" t="n">
        <x:v>91</x:v>
      </x:c>
      <x:c r="J1034" s="133" t="n">
        <x:v>4.142228739002933</x:v>
      </x:c>
      <x:c r="K1034" s="133" t="n">
        <x:v>4.149566803465572</x:v>
      </x:c>
      <x:c r="L1034" s="133" t="n">
        <x:v>4.225352112676056</x:v>
      </x:c>
      <x:c r="M1034" s="133" t="n">
        <x:v>4.177545691906006</x:v>
      </x:c>
      <x:c r="N1034" s="133" t="n">
        <x:v>4.878048780487805</x:v>
      </x:c>
      <x:c r="O1034" s="133" t="n">
        <x:v>4.430379746835443</x:v>
      </x:c>
      <x:c r="P1034" s="132"/>
    </x:row>
    <x:row r="1035">
      <x:c r="A1035" s="136" t="str">
        <x:v>01033020902</x:v>
      </x:c>
      <x:c r="B1035" s="132" t="str">
        <x:v>Colbert County</x:v>
      </x:c>
      <x:c r="C1035" s="132" t="n">
        <x:v>0</x:v>
      </x:c>
      <x:c r="D1035" s="134" t="n">
        <x:v>3712</x:v>
      </x:c>
      <x:c r="E1035" s="133" t="n">
        <x:v>8.4</x:v>
      </x:c>
      <x:c r="F1035" s="134" t="n">
        <x:v>2785</x:v>
      </x:c>
      <x:c r="G1035" s="134" t="n">
        <x:v>0</x:v>
      </x:c>
      <x:c r="H1035" s="134" t="n">
        <x:v>122</x:v>
      </x:c>
      <x:c r="I1035" s="134" t="n">
        <x:v>92</x:v>
      </x:c>
      <x:c r="J1035" s="133" t="n">
        <x:v>3.2866379310344827</x:v>
      </x:c>
      <x:c r="K1035" s="133" t="n">
        <x:v>3.3034111310592458</x:v>
      </x:c>
      <x:c r="L1035" s="133" t="n">
        <x:v>3.338391502276176</x:v>
      </x:c>
      <x:c r="M1035" s="133" t="n">
        <x:v>3.3121019108280256</x:v>
      </x:c>
      <x:c r="N1035" s="133" t="n">
        <x:v>4.166666666666667</x:v>
      </x:c>
      <x:c r="O1035" s="133" t="n">
        <x:v>3.5294117647058822</x:v>
      </x:c>
      <x:c r="P1035" s="132"/>
    </x:row>
    <x:row r="1036">
      <x:c r="A1036" s="136" t="str">
        <x:v>01081041101</x:v>
      </x:c>
      <x:c r="B1036" s="132" t="str">
        <x:v>Lee County</x:v>
      </x:c>
      <x:c r="C1036" s="132" t="n">
        <x:v>1</x:v>
      </x:c>
      <x:c r="D1036" s="134" t="n">
        <x:v>2070</x:v>
      </x:c>
      <x:c r="E1036" s="133" t="n">
        <x:v>18.9</x:v>
      </x:c>
      <x:c r="F1036" s="134" t="n">
        <x:v>1139</x:v>
      </x:c>
      <x:c r="G1036" s="134" t="n">
        <x:v>0</x:v>
      </x:c>
      <x:c r="H1036" s="134" t="n">
        <x:v>171</x:v>
      </x:c>
      <x:c r="I1036" s="134" t="n">
        <x:v>94</x:v>
      </x:c>
      <x:c r="J1036" s="133" t="n">
        <x:v>8.26086956521739</x:v>
      </x:c>
      <x:c r="K1036" s="133" t="n">
        <x:v>8.252853380158033</x:v>
      </x:c>
      <x:c r="L1036" s="133" t="n">
        <x:v>8.38150289017341</x:v>
      </x:c>
      <x:c r="M1036" s="133" t="n">
        <x:v>8.19672131147541</x:v>
      </x:c>
      <x:c r="N1036" s="133" t="n">
        <x:v>8.024691358024691</x:v>
      </x:c>
      <x:c r="O1036" s="133" t="n">
        <x:v>8.383233532934131</x:v>
      </x:c>
      <x:c r="P1036" s="132"/>
    </x:row>
    <x:row r="1037">
      <x:c r="A1037" s="136" t="str">
        <x:v>01065040401</x:v>
      </x:c>
      <x:c r="B1037" s="132" t="str">
        <x:v>Hale County</x:v>
      </x:c>
      <x:c r="C1037" s="132" t="n">
        <x:v>0</x:v>
      </x:c>
      <x:c r="D1037" s="134" t="n">
        <x:v>3153</x:v>
      </x:c>
      <x:c r="E1037" s="133" t="n">
        <x:v>34.8</x:v>
      </x:c>
      <x:c r="F1037" s="134" t="n">
        <x:v>1000</x:v>
      </x:c>
      <x:c r="G1037" s="134" t="n">
        <x:v>0</x:v>
      </x:c>
      <x:c r="H1037" s="134" t="n">
        <x:v>301</x:v>
      </x:c>
      <x:c r="I1037" s="134" t="n">
        <x:v>95</x:v>
      </x:c>
      <x:c r="J1037" s="133" t="n">
        <x:v>9.546463685379004</x:v>
      </x:c>
      <x:c r="K1037" s="133" t="n">
        <x:v>9.5</x:v>
      </x:c>
      <x:c r="L1037" s="133" t="n">
        <x:v>9.563994374120956</x:v>
      </x:c>
      <x:c r="M1037" s="133" t="n">
        <x:v>9.495548961424332</x:v>
      </x:c>
      <x:c r="N1037" s="133" t="n">
        <x:v>9.35672514619883</x:v>
      </x:c>
      <x:c r="O1037" s="133" t="n">
        <x:v>9.49868073878628</x:v>
      </x:c>
      <x:c r="P1037" s="132"/>
    </x:row>
    <x:row r="1038">
      <x:c r="A1038" s="136" t="str">
        <x:v>01097003301</x:v>
      </x:c>
      <x:c r="B1038" s="132" t="str">
        <x:v>Mobile County</x:v>
      </x:c>
      <x:c r="C1038" s="132" t="n">
        <x:v>1</x:v>
      </x:c>
      <x:c r="D1038" s="134" t="n">
        <x:v>2871</x:v>
      </x:c>
      <x:c r="E1038" s="133" t="n">
        <x:v>16.4</x:v>
      </x:c>
      <x:c r="F1038" s="134" t="n">
        <x:v>1378</x:v>
      </x:c>
      <x:c r="G1038" s="134" t="n">
        <x:v>0</x:v>
      </x:c>
      <x:c r="H1038" s="134" t="n">
        <x:v>197</x:v>
      </x:c>
      <x:c r="I1038" s="134" t="n">
        <x:v>95</x:v>
      </x:c>
      <x:c r="J1038" s="133" t="n">
        <x:v>6.861720654824103</x:v>
      </x:c>
      <x:c r="K1038" s="133" t="n">
        <x:v>6.894049346879536</x:v>
      </x:c>
      <x:c r="L1038" s="133" t="n">
        <x:v>6.837606837606837</x:v>
      </x:c>
      <x:c r="M1038" s="133" t="n">
        <x:v>6.763285024154589</x:v>
      </x:c>
      <x:c r="N1038" s="133" t="n">
        <x:v>6.0606060606060606</x:v>
      </x:c>
      <x:c r="O1038" s="133" t="n">
        <x:v>6.8493150684931505</x:v>
      </x:c>
      <x:c r="P1038" s="132"/>
    </x:row>
    <x:row r="1039">
      <x:c r="A1039" s="136" t="str">
        <x:v>01085781000</x:v>
      </x:c>
      <x:c r="B1039" s="132" t="str">
        <x:v>Lowndes County</x:v>
      </x:c>
      <x:c r="C1039" s="132" t="n">
        <x:v>0</x:v>
      </x:c>
      <x:c r="D1039" s="134" t="n">
        <x:v>2710</x:v>
      </x:c>
      <x:c r="E1039" s="133" t="n">
        <x:v>28.3</x:v>
      </x:c>
      <x:c r="F1039" s="134" t="n">
        <x:v>1352</x:v>
      </x:c>
      <x:c r="G1039" s="134" t="n">
        <x:v>0</x:v>
      </x:c>
      <x:c r="H1039" s="134" t="n">
        <x:v>193</x:v>
      </x:c>
      <x:c r="I1039" s="134" t="n">
        <x:v>96</x:v>
      </x:c>
      <x:c r="J1039" s="133" t="n">
        <x:v>7.121771217712177</x:v>
      </x:c>
      <x:c r="K1039" s="133" t="n">
        <x:v>7.100591715976331</x:v>
      </x:c>
      <x:c r="L1039" s="133" t="n">
        <x:v>7.2</x:v>
      </x:c>
      <x:c r="M1039" s="133" t="n">
        <x:v>7.107438016528926</x:v>
      </x:c>
      <x:c r="N1039" s="133" t="n">
        <x:v>7.027027027027027</x:v>
      </x:c>
      <x:c r="O1039" s="133" t="n">
        <x:v>7.160493827160494</x:v>
      </x:c>
      <x:c r="P1039" s="132"/>
    </x:row>
    <x:row r="1040">
      <x:c r="A1040" s="136" t="str">
        <x:v>01109188700</x:v>
      </x:c>
      <x:c r="B1040" s="132" t="str">
        <x:v>Pike County</x:v>
      </x:c>
      <x:c r="C1040" s="132" t="n">
        <x:v>0</x:v>
      </x:c>
      <x:c r="D1040" s="134" t="n">
        <x:v>1718</x:v>
      </x:c>
      <x:c r="E1040" s="133" t="n">
        <x:v>17.2</x:v>
      </x:c>
      <x:c r="F1040" s="134" t="n">
        <x:v>929</x:v>
      </x:c>
      <x:c r="G1040" s="134" t="n">
        <x:v>0</x:v>
      </x:c>
      <x:c r="H1040" s="134" t="n">
        <x:v>181</x:v>
      </x:c>
      <x:c r="I1040" s="134" t="n">
        <x:v>98</x:v>
      </x:c>
      <x:c r="J1040" s="133" t="n">
        <x:v>10.535506402793946</x:v>
      </x:c>
      <x:c r="K1040" s="133" t="n">
        <x:v>10.54897739504844</x:v>
      </x:c>
      <x:c r="L1040" s="133" t="n">
        <x:v>10.498687664041995</x:v>
      </x:c>
      <x:c r="M1040" s="133" t="n">
        <x:v>10.443037974683545</x:v>
      </x:c>
      <x:c r="N1040" s="133" t="n">
        <x:v>10.526315789473685</x:v>
      </x:c>
      <x:c r="O1040" s="133" t="n">
        <x:v>10.38961038961039</x:v>
      </x:c>
      <x:c r="P1040" s="132"/>
    </x:row>
    <x:row r="1041">
      <x:c r="A1041" s="136" t="str">
        <x:v>01125010601</x:v>
      </x:c>
      <x:c r="B1041" s="132" t="str">
        <x:v>Tuscaloosa County</x:v>
      </x:c>
      <x:c r="C1041" s="132" t="n">
        <x:v>0</x:v>
      </x:c>
      <x:c r="D1041" s="134" t="n">
        <x:v>5706</x:v>
      </x:c>
      <x:c r="E1041" s="133" t="n">
        <x:v>5.3</x:v>
      </x:c>
      <x:c r="F1041" s="134" t="n">
        <x:v>4424</x:v>
      </x:c>
      <x:c r="G1041" s="134" t="n">
        <x:v>0</x:v>
      </x:c>
      <x:c r="H1041" s="134" t="n">
        <x:v>126</x:v>
      </x:c>
      <x:c r="I1041" s="134" t="n">
        <x:v>98</x:v>
      </x:c>
      <x:c r="J1041" s="133" t="n">
        <x:v>2.2082018927444795</x:v>
      </x:c>
      <x:c r="K1041" s="133" t="n">
        <x:v>2.2151898734177213</x:v>
      </x:c>
      <x:c r="L1041" s="133" t="n">
        <x:v>2.210759027266028</x:v>
      </x:c>
      <x:c r="M1041" s="133" t="n">
        <x:v>2.2546419098143238</x:v>
      </x:c>
      <x:c r="N1041" s="133" t="n">
        <x:v>0</x:v>
      </x:c>
      <x:c r="O1041" s="133" t="n">
        <x:v>2.34375</x:v>
      </x:c>
      <x:c r="P1041" s="132"/>
    </x:row>
    <x:row r="1042">
      <x:c r="A1042" s="136" t="str">
        <x:v>01125012800</x:v>
      </x:c>
      <x:c r="B1042" s="132" t="str">
        <x:v>Tuscaloosa County</x:v>
      </x:c>
      <x:c r="C1042" s="132" t="n">
        <x:v>1</x:v>
      </x:c>
      <x:c r="D1042" s="134" t="n">
        <x:v>2071</x:v>
      </x:c>
      <x:c r="E1042" s="133" t="n">
        <x:v>20</x:v>
      </x:c>
      <x:c r="F1042" s="134" t="n">
        <x:v>827</x:v>
      </x:c>
      <x:c r="G1042" s="134" t="n">
        <x:v>0</x:v>
      </x:c>
      <x:c r="H1042" s="134" t="n">
        <x:v>244</x:v>
      </x:c>
      <x:c r="I1042" s="134" t="n">
        <x:v>98</x:v>
      </x:c>
      <x:c r="J1042" s="133" t="n">
        <x:v>11.78174794785128</x:v>
      </x:c>
      <x:c r="K1042" s="133" t="n">
        <x:v>11.85006045949214</x:v>
      </x:c>
      <x:c r="L1042" s="133" t="n">
        <x:v>11.855670103092784</x:v>
      </x:c>
      <x:c r="M1042" s="133" t="n">
        <x:v>11.616161616161616</x:v>
      </x:c>
      <x:c r="N1042" s="133" t="n">
        <x:v>12.195121951219512</x:v>
      </x:c>
      <x:c r="O1042" s="133" t="n">
        <x:v>11.640211640211641</x:v>
      </x:c>
      <x:c r="P1042" s="132"/>
    </x:row>
    <x:row r="1043">
      <x:c r="A1043" s="136" t="str">
        <x:v>01057020000</x:v>
      </x:c>
      <x:c r="B1043" s="132" t="str">
        <x:v>Fayette County</x:v>
      </x:c>
      <x:c r="C1043" s="132" t="n">
        <x:v>0</x:v>
      </x:c>
      <x:c r="D1043" s="134" t="n">
        <x:v>1501</x:v>
      </x:c>
      <x:c r="E1043" s="133" t="n">
        <x:v>1.9</x:v>
      </x:c>
      <x:c r="F1043" s="134" t="n">
        <x:v>1112</x:v>
      </x:c>
      <x:c r="G1043" s="134" t="n">
        <x:v>0</x:v>
      </x:c>
      <x:c r="H1043" s="134" t="n">
        <x:v>134</x:v>
      </x:c>
      <x:c r="I1043" s="134" t="n">
        <x:v>100</x:v>
      </x:c>
      <x:c r="J1043" s="133" t="n">
        <x:v>8.927381745502998</x:v>
      </x:c>
      <x:c r="K1043" s="133" t="n">
        <x:v>8.992805755395683</x:v>
      </x:c>
      <x:c r="L1043" s="133" t="n">
        <x:v>9.003215434083602</x:v>
      </x:c>
      <x:c r="M1043" s="133" t="n">
        <x:v>8.843537414965986</x:v>
      </x:c>
      <x:c r="N1043" s="133" t="n">
        <x:v>8</x:v>
      </x:c>
      <x:c r="O1043" s="133" t="n">
        <x:v>8.695652173913043</x:v>
      </x:c>
      <x:c r="P1043" s="132"/>
    </x:row>
    <x:row r="1044">
      <x:c r="A1044" s="136" t="str">
        <x:v>01125010500</x:v>
      </x:c>
      <x:c r="B1044" s="132" t="str">
        <x:v>Tuscaloosa County</x:v>
      </x:c>
      <x:c r="C1044" s="132" t="n">
        <x:v>1</x:v>
      </x:c>
      <x:c r="D1044" s="134" t="n">
        <x:v>2198</x:v>
      </x:c>
      <x:c r="E1044" s="133" t="n">
        <x:v>21.7</x:v>
      </x:c>
      <x:c r="F1044" s="134" t="n">
        <x:v>857</x:v>
      </x:c>
      <x:c r="G1044" s="134" t="n">
        <x:v>0</x:v>
      </x:c>
      <x:c r="H1044" s="134" t="n">
        <x:v>258</x:v>
      </x:c>
      <x:c r="I1044" s="134" t="n">
        <x:v>100</x:v>
      </x:c>
      <x:c r="J1044" s="133" t="n">
        <x:v>11.737943585077343</x:v>
      </x:c>
      <x:c r="K1044" s="133" t="n">
        <x:v>11.668611435239207</x:v>
      </x:c>
      <x:c r="L1044" s="133" t="n">
        <x:v>11.63265306122449</x:v>
      </x:c>
      <x:c r="M1044" s="133" t="n">
        <x:v>11.57556270096463</x:v>
      </x:c>
      <x:c r="N1044" s="133" t="n">
        <x:v>12.820512820512821</x:v>
      </x:c>
      <x:c r="O1044" s="133" t="n">
        <x:v>12.068965517241379</x:v>
      </x:c>
      <x:c r="P1044" s="132"/>
    </x:row>
    <x:row r="1045">
      <x:c r="A1045" s="136" t="str">
        <x:v>01007010011</x:v>
      </x:c>
      <x:c r="B1045" s="132" t="str">
        <x:v>Bibb County</x:v>
      </x:c>
      <x:c r="C1045" s="132" t="n">
        <x:v>0</x:v>
      </x:c>
      <x:c r="D1045" s="134" t="n">
        <x:v>3253</x:v>
      </x:c>
      <x:c r="E1045" s="133" t="n">
        <x:v>18.1</x:v>
      </x:c>
      <x:c r="F1045" s="134" t="n">
        <x:v>1267</x:v>
      </x:c>
      <x:c r="G1045" s="134" t="n">
        <x:v>0</x:v>
      </x:c>
      <x:c r="H1045" s="134" t="n">
        <x:v>263</x:v>
      </x:c>
      <x:c r="I1045" s="134" t="n">
        <x:v>102</x:v>
      </x:c>
      <x:c r="J1045" s="133" t="n">
        <x:v>8.08484475868429</x:v>
      </x:c>
      <x:c r="K1045" s="133" t="n">
        <x:v>8.050513022888714</x:v>
      </x:c>
      <x:c r="L1045" s="133" t="n">
        <x:v>8.16326530612245</x:v>
      </x:c>
      <x:c r="M1045" s="133" t="n">
        <x:v>8.192090395480227</x:v>
      </x:c>
      <x:c r="N1045" s="133" t="n">
        <x:v>7.142857142857143</x:v>
      </x:c>
      <x:c r="O1045" s="133" t="n">
        <x:v>7.894736842105263</x:v>
      </x:c>
      <x:c r="P1045" s="132"/>
    </x:row>
    <x:row r="1046">
      <x:c r="A1046" s="136" t="str">
        <x:v>01039962500</x:v>
      </x:c>
      <x:c r="B1046" s="132" t="str">
        <x:v>Covington County</x:v>
      </x:c>
      <x:c r="C1046" s="132" t="n">
        <x:v>1</x:v>
      </x:c>
      <x:c r="D1046" s="134" t="n">
        <x:v>1550</x:v>
      </x:c>
      <x:c r="E1046" s="133" t="n">
        <x:v>22.7</x:v>
      </x:c>
      <x:c r="F1046" s="134" t="n">
        <x:v>741</x:v>
      </x:c>
      <x:c r="G1046" s="134" t="n">
        <x:v>0</x:v>
      </x:c>
      <x:c r="H1046" s="134" t="n">
        <x:v>213</x:v>
      </x:c>
      <x:c r="I1046" s="134" t="n">
        <x:v>102</x:v>
      </x:c>
      <x:c r="J1046" s="133" t="n">
        <x:v>13.741935483870968</x:v>
      </x:c>
      <x:c r="K1046" s="133" t="n">
        <x:v>13.765182186234817</x:v>
      </x:c>
      <x:c r="L1046" s="133" t="n">
        <x:v>13.680781758957655</x:v>
      </x:c>
      <x:c r="M1046" s="133" t="n">
        <x:v>13.716814159292035</x:v>
      </x:c>
      <x:c r="N1046" s="133" t="n">
        <x:v>13.793103448275861</x:v>
      </x:c>
      <x:c r="O1046" s="133" t="n">
        <x:v>14.583333333333334</x:v>
      </x:c>
      <x:c r="P1046" s="132"/>
    </x:row>
    <x:row r="1047">
      <x:c r="A1047" s="136" t="str">
        <x:v>01053969801</x:v>
      </x:c>
      <x:c r="B1047" s="132" t="str">
        <x:v>Escambia County</x:v>
      </x:c>
      <x:c r="C1047" s="132" t="n">
        <x:v>0</x:v>
      </x:c>
      <x:c r="D1047" s="134" t="n">
        <x:v>1453</x:v>
      </x:c>
      <x:c r="E1047" s="133" t="n">
        <x:v>27.4</x:v>
      </x:c>
      <x:c r="F1047" s="134" t="n">
        <x:v>676</x:v>
      </x:c>
      <x:c r="G1047" s="134" t="n">
        <x:v>0</x:v>
      </x:c>
      <x:c r="H1047" s="134" t="n">
        <x:v>220</x:v>
      </x:c>
      <x:c r="I1047" s="134" t="n">
        <x:v>102</x:v>
      </x:c>
      <x:c r="J1047" s="133" t="n">
        <x:v>15.141087405368204</x:v>
      </x:c>
      <x:c r="K1047" s="133" t="n">
        <x:v>15.088757396449704</x:v>
      </x:c>
      <x:c r="L1047" s="133" t="n">
        <x:v>15.105740181268882</x:v>
      </x:c>
      <x:c r="M1047" s="133" t="n">
        <x:v>15.112540192926046</x:v>
      </x:c>
      <x:c r="N1047" s="133"/>
      <x:c r="O1047" s="133" t="n">
        <x:v>15</x:v>
      </x:c>
      <x:c r="P1047" s="132"/>
    </x:row>
    <x:row r="1048">
      <x:c r="A1048" s="136" t="str">
        <x:v>01107050200</x:v>
      </x:c>
      <x:c r="B1048" s="132" t="str">
        <x:v>Pickens County</x:v>
      </x:c>
      <x:c r="C1048" s="132" t="n">
        <x:v>0</x:v>
      </x:c>
      <x:c r="D1048" s="134" t="n">
        <x:v>1847</x:v>
      </x:c>
      <x:c r="E1048" s="133" t="n">
        <x:v>11.2</x:v>
      </x:c>
      <x:c r="F1048" s="134" t="n">
        <x:v>1450</x:v>
      </x:c>
      <x:c r="G1048" s="134" t="n">
        <x:v>0</x:v>
      </x:c>
      <x:c r="H1048" s="134" t="n">
        <x:v>130</x:v>
      </x:c>
      <x:c r="I1048" s="134" t="n">
        <x:v>102</x:v>
      </x:c>
      <x:c r="J1048" s="133" t="n">
        <x:v>7.038440714672442</x:v>
      </x:c>
      <x:c r="K1048" s="133" t="n">
        <x:v>7.0344827586206895</x:v>
      </x:c>
      <x:c r="L1048" s="133" t="n">
        <x:v>7.067137809187279</x:v>
      </x:c>
      <x:c r="M1048" s="133" t="n">
        <x:v>7.014028056112225</x:v>
      </x:c>
      <x:c r="N1048" s="133" t="n">
        <x:v>7.407407407407407</x:v>
      </x:c>
      <x:c r="O1048" s="133" t="n">
        <x:v>7.377049180327869</x:v>
      </x:c>
      <x:c r="P1048" s="132"/>
    </x:row>
    <x:row r="1049">
      <x:c r="A1049" s="136" t="str">
        <x:v>01013953200</x:v>
      </x:c>
      <x:c r="B1049" s="132" t="str">
        <x:v>Butler County</x:v>
      </x:c>
      <x:c r="C1049" s="132" t="n">
        <x:v>0</x:v>
      </x:c>
      <x:c r="D1049" s="134" t="n">
        <x:v>3987</x:v>
      </x:c>
      <x:c r="E1049" s="133" t="n">
        <x:v>20.4</x:v>
      </x:c>
      <x:c r="F1049" s="134" t="n">
        <x:v>2277</x:v>
      </x:c>
      <x:c r="G1049" s="134" t="n">
        <x:v>0</x:v>
      </x:c>
      <x:c r="H1049" s="134" t="n">
        <x:v>180</x:v>
      </x:c>
      <x:c r="I1049" s="134" t="n">
        <x:v>103</x:v>
      </x:c>
      <x:c r="J1049" s="133" t="n">
        <x:v>4.514672686230249</x:v>
      </x:c>
      <x:c r="K1049" s="133" t="n">
        <x:v>4.523495827843654</x:v>
      </x:c>
      <x:c r="L1049" s="133" t="n">
        <x:v>4.55607476635514</x:v>
      </x:c>
      <x:c r="M1049" s="133" t="n">
        <x:v>4.555808656036446</x:v>
      </x:c>
      <x:c r="N1049" s="133" t="n">
        <x:v>4.8</x:v>
      </x:c>
      <x:c r="O1049" s="133" t="n">
        <x:v>4.790419161676646</x:v>
      </x:c>
      <x:c r="P1049" s="132"/>
    </x:row>
    <x:row r="1050">
      <x:c r="A1050" s="136" t="str">
        <x:v>01099076200</x:v>
      </x:c>
      <x:c r="B1050" s="132" t="str">
        <x:v>Monroe County</x:v>
      </x:c>
      <x:c r="C1050" s="132" t="n">
        <x:v>0</x:v>
      </x:c>
      <x:c r="D1050" s="134" t="n">
        <x:v>1698</x:v>
      </x:c>
      <x:c r="E1050" s="133" t="n">
        <x:v>13.8</x:v>
      </x:c>
      <x:c r="F1050" s="134" t="n">
        <x:v>1000</x:v>
      </x:c>
      <x:c r="G1050" s="134" t="n">
        <x:v>0</x:v>
      </x:c>
      <x:c r="H1050" s="134" t="n">
        <x:v>175</x:v>
      </x:c>
      <x:c r="I1050" s="134" t="n">
        <x:v>103</x:v>
      </x:c>
      <x:c r="J1050" s="133" t="n">
        <x:v>10.306242638398116</x:v>
      </x:c>
      <x:c r="K1050" s="133" t="n">
        <x:v>10.3</x:v>
      </x:c>
      <x:c r="L1050" s="133" t="n">
        <x:v>10.264900662251655</x:v>
      </x:c>
      <x:c r="M1050" s="133" t="n">
        <x:v>10.432569974554708</x:v>
      </x:c>
      <x:c r="N1050" s="133" t="n">
        <x:v>16.666666666666668</x:v>
      </x:c>
      <x:c r="O1050" s="133" t="n">
        <x:v>10</x:v>
      </x:c>
      <x:c r="P1050" s="132"/>
    </x:row>
    <x:row r="1051">
      <x:c r="A1051" s="136" t="str">
        <x:v>01045020700</x:v>
      </x:c>
      <x:c r="B1051" s="132" t="str">
        <x:v>Dale County</x:v>
      </x:c>
      <x:c r="C1051" s="132" t="n">
        <x:v>1</x:v>
      </x:c>
      <x:c r="D1051" s="134" t="n">
        <x:v>3358</x:v>
      </x:c>
      <x:c r="E1051" s="133" t="n">
        <x:v>50</x:v>
      </x:c>
      <x:c r="F1051" s="134" t="n">
        <x:v>964</x:v>
      </x:c>
      <x:c r="G1051" s="134" t="n">
        <x:v>0</x:v>
      </x:c>
      <x:c r="H1051" s="134" t="n">
        <x:v>364</x:v>
      </x:c>
      <x:c r="I1051" s="134" t="n">
        <x:v>104</x:v>
      </x:c>
      <x:c r="J1051" s="133" t="n">
        <x:v>10.839785586658726</x:v>
      </x:c>
      <x:c r="K1051" s="133" t="n">
        <x:v>10.78838174273859</x:v>
      </x:c>
      <x:c r="L1051" s="133" t="n">
        <x:v>10.889929742388759</x:v>
      </x:c>
      <x:c r="M1051" s="133" t="n">
        <x:v>10.87378640776699</x:v>
      </x:c>
      <x:c r="N1051" s="133" t="n">
        <x:v>10.759493670886076</x:v>
      </x:c>
      <x:c r="O1051" s="133" t="n">
        <x:v>10.79136690647482</x:v>
      </x:c>
      <x:c r="P1051" s="132"/>
    </x:row>
    <x:row r="1052">
      <x:c r="A1052" s="136" t="str">
        <x:v>01073012003</x:v>
      </x:c>
      <x:c r="B1052" s="132" t="str">
        <x:v>Jefferson County</x:v>
      </x:c>
      <x:c r="C1052" s="132" t="n">
        <x:v>1</x:v>
      </x:c>
      <x:c r="D1052" s="134" t="n">
        <x:v>2246</x:v>
      </x:c>
      <x:c r="E1052" s="133" t="n">
        <x:v>6</x:v>
      </x:c>
      <x:c r="F1052" s="134" t="n">
        <x:v>1460</x:v>
      </x:c>
      <x:c r="G1052" s="134" t="n">
        <x:v>0</x:v>
      </x:c>
      <x:c r="H1052" s="134" t="n">
        <x:v>163</x:v>
      </x:c>
      <x:c r="I1052" s="134" t="n">
        <x:v>106</x:v>
      </x:c>
      <x:c r="J1052" s="133" t="n">
        <x:v>7.257346393588602</x:v>
      </x:c>
      <x:c r="K1052" s="133" t="n">
        <x:v>7.260273972602739</x:v>
      </x:c>
      <x:c r="L1052" s="133" t="n">
        <x:v>7.355864811133201</x:v>
      </x:c>
      <x:c r="M1052" s="133" t="n">
        <x:v>7.333333333333333</x:v>
      </x:c>
      <x:c r="N1052" s="133" t="n">
        <x:v>6.25</x:v>
      </x:c>
      <x:c r="O1052" s="133" t="n">
        <x:v>6.976744186046512</x:v>
      </x:c>
      <x:c r="P1052" s="132"/>
    </x:row>
    <x:row r="1053">
      <x:c r="A1053" s="136" t="str">
        <x:v>01073013300</x:v>
      </x:c>
      <x:c r="B1053" s="132" t="str">
        <x:v>Jefferson County</x:v>
      </x:c>
      <x:c r="C1053" s="132" t="n">
        <x:v>1</x:v>
      </x:c>
      <x:c r="D1053" s="134" t="n">
        <x:v>3074</x:v>
      </x:c>
      <x:c r="E1053" s="133" t="n">
        <x:v>24.9</x:v>
      </x:c>
      <x:c r="F1053" s="134" t="n">
        <x:v>1600</x:v>
      </x:c>
      <x:c r="G1053" s="134" t="n">
        <x:v>0</x:v>
      </x:c>
      <x:c r="H1053" s="134" t="n">
        <x:v>204</x:v>
      </x:c>
      <x:c r="I1053" s="134" t="n">
        <x:v>106</x:v>
      </x:c>
      <x:c r="J1053" s="133" t="n">
        <x:v>6.636304489264802</x:v>
      </x:c>
      <x:c r="K1053" s="133" t="n">
        <x:v>6.625</x:v>
      </x:c>
      <x:c r="L1053" s="133" t="n">
        <x:v>6.590257879656161</x:v>
      </x:c>
      <x:c r="M1053" s="133" t="n">
        <x:v>6.717557251908397</x:v>
      </x:c>
      <x:c r="N1053" s="133" t="n">
        <x:v>7.246376811594203</x:v>
      </x:c>
      <x:c r="O1053" s="133" t="n">
        <x:v>6.719367588932807</x:v>
      </x:c>
      <x:c r="P1053" s="132"/>
    </x:row>
    <x:row r="1054">
      <x:c r="A1054" s="136" t="str">
        <x:v>01055000300</x:v>
      </x:c>
      <x:c r="B1054" s="132" t="str">
        <x:v>Etowah County</x:v>
      </x:c>
      <x:c r="C1054" s="132" t="n">
        <x:v>1</x:v>
      </x:c>
      <x:c r="D1054" s="134" t="n">
        <x:v>2350</x:v>
      </x:c>
      <x:c r="E1054" s="133" t="n">
        <x:v>59.3</x:v>
      </x:c>
      <x:c r="F1054" s="134" t="n">
        <x:v>512</x:v>
      </x:c>
      <x:c r="G1054" s="134" t="n">
        <x:v>0</x:v>
      </x:c>
      <x:c r="H1054" s="134" t="n">
        <x:v>490</x:v>
      </x:c>
      <x:c r="I1054" s="134" t="n">
        <x:v>107</x:v>
      </x:c>
      <x:c r="J1054" s="133" t="n">
        <x:v>20.851063829787233</x:v>
      </x:c>
      <x:c r="K1054" s="133" t="n">
        <x:v>20.8984375</x:v>
      </x:c>
      <x:c r="L1054" s="133" t="n">
        <x:v>20.923076923076923</x:v>
      </x:c>
      <x:c r="M1054" s="133" t="n">
        <x:v>20.843672456575682</x:v>
      </x:c>
      <x:c r="N1054" s="133" t="n">
        <x:v>21.348314606741575</x:v>
      </x:c>
      <x:c r="O1054" s="133" t="n">
        <x:v>20.95959595959596</x:v>
      </x:c>
      <x:c r="P1054" s="132"/>
    </x:row>
    <x:row r="1055">
      <x:c r="A1055" s="136" t="str">
        <x:v>01133965501</x:v>
      </x:c>
      <x:c r="B1055" s="132" t="str">
        <x:v>Winston County</x:v>
      </x:c>
      <x:c r="C1055" s="132" t="n">
        <x:v>0</x:v>
      </x:c>
      <x:c r="D1055" s="134" t="n">
        <x:v>2219</x:v>
      </x:c>
      <x:c r="E1055" s="133" t="n">
        <x:v>10</x:v>
      </x:c>
      <x:c r="F1055" s="134" t="n">
        <x:v>1257</x:v>
      </x:c>
      <x:c r="G1055" s="134" t="n">
        <x:v>0</x:v>
      </x:c>
      <x:c r="H1055" s="134" t="n">
        <x:v>189</x:v>
      </x:c>
      <x:c r="I1055" s="134" t="n">
        <x:v>107</x:v>
      </x:c>
      <x:c r="J1055" s="133" t="n">
        <x:v>8.517350157728707</x:v>
      </x:c>
      <x:c r="K1055" s="133" t="n">
        <x:v>8.512330946698489</x:v>
      </x:c>
      <x:c r="L1055" s="133" t="n">
        <x:v>8.5995085995086</x:v>
      </x:c>
      <x:c r="M1055" s="133" t="n">
        <x:v>8.590308370044053</x:v>
      </x:c>
      <x:c r="N1055" s="133" t="n">
        <x:v>8.88888888888889</x:v>
      </x:c>
      <x:c r="O1055" s="133" t="n">
        <x:v>8.860759493670885</x:v>
      </x:c>
      <x:c r="P1055" s="132"/>
    </x:row>
    <x:row r="1056">
      <x:c r="A1056" s="136" t="str">
        <x:v>01045020500</x:v>
      </x:c>
      <x:c r="B1056" s="132" t="str">
        <x:v>Dale County</x:v>
      </x:c>
      <x:c r="C1056" s="132" t="n">
        <x:v>1</x:v>
      </x:c>
      <x:c r="D1056" s="134" t="n">
        <x:v>1934</x:v>
      </x:c>
      <x:c r="E1056" s="133" t="n">
        <x:v>26.5</x:v>
      </x:c>
      <x:c r="F1056" s="134" t="n">
        <x:v>955</x:v>
      </x:c>
      <x:c r="G1056" s="134" t="n">
        <x:v>0</x:v>
      </x:c>
      <x:c r="H1056" s="134" t="n">
        <x:v>220</x:v>
      </x:c>
      <x:c r="I1056" s="134" t="n">
        <x:v>109</x:v>
      </x:c>
      <x:c r="J1056" s="133" t="n">
        <x:v>11.375387797311271</x:v>
      </x:c>
      <x:c r="K1056" s="133" t="n">
        <x:v>11.413612565445026</x:v>
      </x:c>
      <x:c r="L1056" s="133" t="n">
        <x:v>11.304347826086957</x:v>
      </x:c>
      <x:c r="M1056" s="133" t="n">
        <x:v>11.488250652741515</x:v>
      </x:c>
      <x:c r="N1056" s="133" t="n">
        <x:v>11.940298507462687</x:v>
      </x:c>
      <x:c r="O1056" s="133" t="n">
        <x:v>11.428571428571429</x:v>
      </x:c>
      <x:c r="P1056" s="132"/>
    </x:row>
    <x:row r="1057">
      <x:c r="A1057" s="136" t="str">
        <x:v>01065040000</x:v>
      </x:c>
      <x:c r="B1057" s="132" t="str">
        <x:v>Hale County</x:v>
      </x:c>
      <x:c r="C1057" s="132" t="n">
        <x:v>0</x:v>
      </x:c>
      <x:c r="D1057" s="134" t="n">
        <x:v>3624</x:v>
      </x:c>
      <x:c r="E1057" s="133" t="n">
        <x:v>15.4</x:v>
      </x:c>
      <x:c r="F1057" s="134" t="n">
        <x:v>3409</x:v>
      </x:c>
      <x:c r="G1057" s="134" t="n">
        <x:v>0</x:v>
      </x:c>
      <x:c r="H1057" s="134" t="n">
        <x:v>119</x:v>
      </x:c>
      <x:c r="I1057" s="134" t="n">
        <x:v>112</x:v>
      </x:c>
      <x:c r="J1057" s="133" t="n">
        <x:v>3.2836644591611477</x:v>
      </x:c>
      <x:c r="K1057" s="133" t="n">
        <x:v>3.2854209445585214</x:v>
      </x:c>
      <x:c r="L1057" s="133" t="n">
        <x:v>3.3057851239669422</x:v>
      </x:c>
      <x:c r="M1057" s="133" t="n">
        <x:v>3.327787021630616</x:v>
      </x:c>
      <x:c r="N1057" s="133" t="n">
        <x:v>3.7037037037037037</x:v>
      </x:c>
      <x:c r="O1057" s="133" t="n">
        <x:v>3.2653061224489797</x:v>
      </x:c>
      <x:c r="P1057" s="132"/>
    </x:row>
    <x:row r="1058">
      <x:c r="A1058" s="136" t="str">
        <x:v>01069040500</x:v>
      </x:c>
      <x:c r="B1058" s="132" t="str">
        <x:v>Houston County</x:v>
      </x:c>
      <x:c r="C1058" s="132" t="n">
        <x:v>1</x:v>
      </x:c>
      <x:c r="D1058" s="134" t="n">
        <x:v>3566</x:v>
      </x:c>
      <x:c r="E1058" s="133" t="n">
        <x:v>9.5</x:v>
      </x:c>
      <x:c r="F1058" s="134" t="n">
        <x:v>2356</x:v>
      </x:c>
      <x:c r="G1058" s="134" t="n">
        <x:v>0</x:v>
      </x:c>
      <x:c r="H1058" s="134" t="n">
        <x:v>169</x:v>
      </x:c>
      <x:c r="I1058" s="134" t="n">
        <x:v>112</x:v>
      </x:c>
      <x:c r="J1058" s="133" t="n">
        <x:v>4.739203589455973</x:v>
      </x:c>
      <x:c r="K1058" s="133" t="n">
        <x:v>4.753820033955857</x:v>
      </x:c>
      <x:c r="L1058" s="133" t="n">
        <x:v>4.714285714285714</x:v>
      </x:c>
      <x:c r="M1058" s="133" t="n">
        <x:v>4.780361757105943</x:v>
      </x:c>
      <x:c r="N1058" s="133" t="n">
        <x:v>5.555555555555555</x:v>
      </x:c>
      <x:c r="O1058" s="133" t="n">
        <x:v>4.945054945054945</x:v>
      </x:c>
      <x:c r="P1058" s="132"/>
    </x:row>
    <x:row r="1059">
      <x:c r="A1059" s="136" t="str">
        <x:v>01097003608</x:v>
      </x:c>
      <x:c r="B1059" s="132" t="str">
        <x:v>Mobile County</x:v>
      </x:c>
      <x:c r="C1059" s="132" t="n">
        <x:v>1</x:v>
      </x:c>
      <x:c r="D1059" s="134" t="n">
        <x:v>1279</x:v>
      </x:c>
      <x:c r="E1059" s="133" t="n">
        <x:v>9.7</x:v>
      </x:c>
      <x:c r="F1059" s="134" t="n">
        <x:v>548</x:v>
      </x:c>
      <x:c r="G1059" s="134" t="n">
        <x:v>0</x:v>
      </x:c>
      <x:c r="H1059" s="134" t="n">
        <x:v>261</x:v>
      </x:c>
      <x:c r="I1059" s="134" t="n">
        <x:v>112</x:v>
      </x:c>
      <x:c r="J1059" s="133" t="n">
        <x:v>20.40656763096169</x:v>
      </x:c>
      <x:c r="K1059" s="133" t="n">
        <x:v>20.437956204379564</x:v>
      </x:c>
      <x:c r="L1059" s="133" t="n">
        <x:v>20.53872053872054</x:v>
      </x:c>
      <x:c r="M1059" s="133" t="n">
        <x:v>20.61855670103093</x:v>
      </x:c>
      <x:c r="N1059" s="133" t="n">
        <x:v>20</x:v>
      </x:c>
      <x:c r="O1059" s="133" t="n">
        <x:v>19.607843137254903</x:v>
      </x:c>
      <x:c r="P1059" s="132"/>
    </x:row>
    <x:row r="1060">
      <x:c r="A1060" s="136" t="str">
        <x:v>01069041100</x:v>
      </x:c>
      <x:c r="B1060" s="132" t="str">
        <x:v>Houston County</x:v>
      </x:c>
      <x:c r="C1060" s="132" t="n">
        <x:v>1</x:v>
      </x:c>
      <x:c r="D1060" s="134" t="n">
        <x:v>3674</x:v>
      </x:c>
      <x:c r="E1060" s="133" t="n">
        <x:v>29.7</x:v>
      </x:c>
      <x:c r="F1060" s="134" t="n">
        <x:v>1886</x:v>
      </x:c>
      <x:c r="G1060" s="134" t="n">
        <x:v>0</x:v>
      </x:c>
      <x:c r="H1060" s="134" t="n">
        <x:v>225</x:v>
      </x:c>
      <x:c r="I1060" s="134" t="n">
        <x:v>116</x:v>
      </x:c>
      <x:c r="J1060" s="133" t="n">
        <x:v>6.124115405552531</x:v>
      </x:c>
      <x:c r="K1060" s="133" t="n">
        <x:v>6.150583244962885</x:v>
      </x:c>
      <x:c r="L1060" s="133" t="n">
        <x:v>6.119951040391677</x:v>
      </x:c>
      <x:c r="M1060" s="133" t="n">
        <x:v>6.211180124223603</x:v>
      </x:c>
      <x:c r="N1060" s="133" t="n">
        <x:v>6.422018348623853</x:v>
      </x:c>
      <x:c r="O1060" s="133" t="n">
        <x:v>6.086956521739131</x:v>
      </x:c>
      <x:c r="P1060" s="132"/>
    </x:row>
    <x:row r="1061">
      <x:c r="A1061" s="136" t="str">
        <x:v>01091973100</x:v>
      </x:c>
      <x:c r="B1061" s="132" t="str">
        <x:v>Marengo County</x:v>
      </x:c>
      <x:c r="C1061" s="132" t="n">
        <x:v>0</x:v>
      </x:c>
      <x:c r="D1061" s="134" t="n">
        <x:v>1717</x:v>
      </x:c>
      <x:c r="E1061" s="133" t="n">
        <x:v>26.9</x:v>
      </x:c>
      <x:c r="F1061" s="134" t="n">
        <x:v>648</x:v>
      </x:c>
      <x:c r="G1061" s="134" t="n">
        <x:v>0</x:v>
      </x:c>
      <x:c r="H1061" s="134" t="n">
        <x:v>311</x:v>
      </x:c>
      <x:c r="I1061" s="134" t="n">
        <x:v>117</x:v>
      </x:c>
      <x:c r="J1061" s="133" t="n">
        <x:v>18.112987769365173</x:v>
      </x:c>
      <x:c r="K1061" s="133" t="n">
        <x:v>18.055555555555557</x:v>
      </x:c>
      <x:c r="L1061" s="133" t="n">
        <x:v>18.006430868167204</x:v>
      </x:c>
      <x:c r="M1061" s="133" t="n">
        <x:v>18.10810810810811</x:v>
      </x:c>
      <x:c r="N1061" s="133" t="n">
        <x:v>18.085106382978722</x:v>
      </x:c>
      <x:c r="O1061" s="133" t="n">
        <x:v>18.181818181818183</x:v>
      </x:c>
      <x:c r="P1061" s="132"/>
    </x:row>
    <x:row r="1062">
      <x:c r="A1062" s="136" t="str">
        <x:v>01089001302</x:v>
      </x:c>
      <x:c r="B1062" s="132" t="str">
        <x:v>Madison County</x:v>
      </x:c>
      <x:c r="C1062" s="132" t="n">
        <x:v>1</x:v>
      </x:c>
      <x:c r="D1062" s="134" t="n">
        <x:v>1968</x:v>
      </x:c>
      <x:c r="E1062" s="133" t="n">
        <x:v>10.7</x:v>
      </x:c>
      <x:c r="F1062" s="134" t="n">
        <x:v>1211</x:v>
      </x:c>
      <x:c r="G1062" s="134" t="n">
        <x:v>0</x:v>
      </x:c>
      <x:c r="H1062" s="134" t="n">
        <x:v>193</x:v>
      </x:c>
      <x:c r="I1062" s="134" t="n">
        <x:v>119</x:v>
      </x:c>
      <x:c r="J1062" s="133" t="n">
        <x:v>9.80691056910569</x:v>
      </x:c>
      <x:c r="K1062" s="133" t="n">
        <x:v>9.826589595375722</x:v>
      </x:c>
      <x:c r="L1062" s="133" t="n">
        <x:v>9.749303621169917</x:v>
      </x:c>
      <x:c r="M1062" s="133" t="n">
        <x:v>9.929078014184396</x:v>
      </x:c>
      <x:c r="N1062" s="133" t="n">
        <x:v>0</x:v>
      </x:c>
      <x:c r="O1062" s="133" t="n">
        <x:v>10.06711409395973</x:v>
      </x:c>
      <x:c r="P1062" s="132"/>
    </x:row>
    <x:row r="1063">
      <x:c r="A1063" s="136" t="str">
        <x:v>01081040300</x:v>
      </x:c>
      <x:c r="B1063" s="132" t="str">
        <x:v>Lee County</x:v>
      </x:c>
      <x:c r="C1063" s="132" t="n">
        <x:v>1</x:v>
      </x:c>
      <x:c r="D1063" s="134" t="n">
        <x:v>2576</x:v>
      </x:c>
      <x:c r="E1063" s="133" t="n">
        <x:v>32.8</x:v>
      </x:c>
      <x:c r="F1063" s="134" t="n">
        <x:v>1491</x:v>
      </x:c>
      <x:c r="G1063" s="134" t="n">
        <x:v>0</x:v>
      </x:c>
      <x:c r="H1063" s="134" t="n">
        <x:v>207</x:v>
      </x:c>
      <x:c r="I1063" s="134" t="n">
        <x:v>120</x:v>
      </x:c>
      <x:c r="J1063" s="133" t="n">
        <x:v>8.035714285714286</x:v>
      </x:c>
      <x:c r="K1063" s="133" t="n">
        <x:v>8.048289738430583</x:v>
      </x:c>
      <x:c r="L1063" s="133" t="n">
        <x:v>7.989690721649485</x:v>
      </x:c>
      <x:c r="M1063" s="133" t="n">
        <x:v>7.8838174273858925</x:v>
      </x:c>
      <x:c r="N1063" s="133" t="n">
        <x:v>7.6923076923076925</x:v>
      </x:c>
      <x:c r="O1063" s="133" t="n">
        <x:v>8.474576271186441</x:v>
      </x:c>
      <x:c r="P1063" s="132"/>
    </x:row>
    <x:row r="1064">
      <x:c r="A1064" s="136" t="str">
        <x:v>01031010100</x:v>
      </x:c>
      <x:c r="B1064" s="132" t="str">
        <x:v>Coffee County</x:v>
      </x:c>
      <x:c r="C1064" s="132" t="n">
        <x:v>0</x:v>
      </x:c>
      <x:c r="D1064" s="134" t="n">
        <x:v>2143</x:v>
      </x:c>
      <x:c r="E1064" s="133" t="n">
        <x:v>16.7</x:v>
      </x:c>
      <x:c r="F1064" s="134" t="n">
        <x:v>1065</x:v>
      </x:c>
      <x:c r="G1064" s="134" t="n">
        <x:v>0</x:v>
      </x:c>
      <x:c r="H1064" s="134" t="n">
        <x:v>246</x:v>
      </x:c>
      <x:c r="I1064" s="134" t="n">
        <x:v>122</x:v>
      </x:c>
      <x:c r="J1064" s="133" t="n">
        <x:v>11.479234717685488</x:v>
      </x:c>
      <x:c r="K1064" s="133" t="n">
        <x:v>11.455399061032864</x:v>
      </x:c>
      <x:c r="L1064" s="133" t="n">
        <x:v>11.44578313253012</x:v>
      </x:c>
      <x:c r="M1064" s="133" t="n">
        <x:v>11.547344110854503</x:v>
      </x:c>
      <x:c r="N1064" s="133" t="n">
        <x:v>10.714285714285714</x:v>
      </x:c>
      <x:c r="O1064" s="133" t="n">
        <x:v>11.403508771929825</x:v>
      </x:c>
      <x:c r="P1064" s="132"/>
    </x:row>
    <x:row r="1065">
      <x:c r="A1065" s="136" t="str">
        <x:v>01033020600</x:v>
      </x:c>
      <x:c r="B1065" s="132" t="str">
        <x:v>Colbert County</x:v>
      </x:c>
      <x:c r="C1065" s="132" t="n">
        <x:v>1</x:v>
      </x:c>
      <x:c r="D1065" s="134" t="n">
        <x:v>4769</x:v>
      </x:c>
      <x:c r="E1065" s="133" t="n">
        <x:v>9.8</x:v>
      </x:c>
      <x:c r="F1065" s="134" t="n">
        <x:v>3275</x:v>
      </x:c>
      <x:c r="G1065" s="134" t="n">
        <x:v>0</x:v>
      </x:c>
      <x:c r="H1065" s="134" t="n">
        <x:v>179</x:v>
      </x:c>
      <x:c r="I1065" s="134" t="n">
        <x:v>123</x:v>
      </x:c>
      <x:c r="J1065" s="133" t="n">
        <x:v>3.7534074229398198</x:v>
      </x:c>
      <x:c r="K1065" s="133" t="n">
        <x:v>3.7557251908396947</x:v>
      </x:c>
      <x:c r="L1065" s="133" t="n">
        <x:v>3.7773359840954273</x:v>
      </x:c>
      <x:c r="M1065" s="133" t="n">
        <x:v>3.7102473498233217</x:v>
      </x:c>
      <x:c r="N1065" s="133" t="n">
        <x:v>3.9603960396039604</x:v>
      </x:c>
      <x:c r="O1065" s="133" t="n">
        <x:v>3.75</x:v>
      </x:c>
      <x:c r="P1065" s="132"/>
    </x:row>
    <x:row r="1066">
      <x:c r="A1066" s="136" t="str">
        <x:v>01073005905</x:v>
      </x:c>
      <x:c r="B1066" s="132" t="str">
        <x:v>Jefferson County</x:v>
      </x:c>
      <x:c r="C1066" s="132" t="n">
        <x:v>1</x:v>
      </x:c>
      <x:c r="D1066" s="134" t="n">
        <x:v>5577</x:v>
      </x:c>
      <x:c r="E1066" s="133" t="n">
        <x:v>21.7</x:v>
      </x:c>
      <x:c r="F1066" s="134" t="n">
        <x:v>3131</x:v>
      </x:c>
      <x:c r="G1066" s="134" t="n">
        <x:v>0</x:v>
      </x:c>
      <x:c r="H1066" s="134" t="n">
        <x:v>220</x:v>
      </x:c>
      <x:c r="I1066" s="134" t="n">
        <x:v>124</x:v>
      </x:c>
      <x:c r="J1066" s="133" t="n">
        <x:v>3.9447731755424065</x:v>
      </x:c>
      <x:c r="K1066" s="133" t="n">
        <x:v>3.9603960396039604</x:v>
      </x:c>
      <x:c r="L1066" s="133" t="n">
        <x:v>3.9276807980049875</x:v>
      </x:c>
      <x:c r="M1066" s="133" t="n">
        <x:v>3.9940828402366866</x:v>
      </x:c>
      <x:c r="N1066" s="133" t="n">
        <x:v>0</x:v>
      </x:c>
      <x:c r="O1066" s="133" t="n">
        <x:v>4.051172707889126</x:v>
      </x:c>
      <x:c r="P1066" s="132"/>
    </x:row>
    <x:row r="1067">
      <x:c r="A1067" s="136" t="str">
        <x:v>01101005402</x:v>
      </x:c>
      <x:c r="B1067" s="132" t="str">
        <x:v>Montgomery County</x:v>
      </x:c>
      <x:c r="C1067" s="132" t="n">
        <x:v>1</x:v>
      </x:c>
      <x:c r="D1067" s="134" t="n">
        <x:v>5486</x:v>
      </x:c>
      <x:c r="E1067" s="133" t="n">
        <x:v>31.5</x:v>
      </x:c>
      <x:c r="F1067" s="134" t="n">
        <x:v>2809</x:v>
      </x:c>
      <x:c r="G1067" s="134" t="n">
        <x:v>0</x:v>
      </x:c>
      <x:c r="H1067" s="134" t="n">
        <x:v>243</x:v>
      </x:c>
      <x:c r="I1067" s="134" t="n">
        <x:v>124</x:v>
      </x:c>
      <x:c r="J1067" s="133" t="n">
        <x:v>4.429456799125045</x:v>
      </x:c>
      <x:c r="K1067" s="133" t="n">
        <x:v>4.41438234247063</x:v>
      </x:c>
      <x:c r="L1067" s="133" t="n">
        <x:v>4.424202992843201</x:v>
      </x:c>
      <x:c r="M1067" s="133" t="n">
        <x:v>4.471544715447155</x:v>
      </x:c>
      <x:c r="N1067" s="133" t="n">
        <x:v>4.166666666666667</x:v>
      </x:c>
      <x:c r="O1067" s="133" t="n">
        <x:v>4.39882697947214</x:v>
      </x:c>
      <x:c r="P1067" s="132"/>
    </x:row>
    <x:row r="1068">
      <x:c r="A1068" s="136" t="str">
        <x:v>01107050000</x:v>
      </x:c>
      <x:c r="B1068" s="132" t="str">
        <x:v>Pickens County</x:v>
      </x:c>
      <x:c r="C1068" s="132" t="n">
        <x:v>0</x:v>
      </x:c>
      <x:c r="D1068" s="134" t="n">
        <x:v>4428</x:v>
      </x:c>
      <x:c r="E1068" s="133" t="n">
        <x:v>16.1</x:v>
      </x:c>
      <x:c r="F1068" s="134" t="n">
        <x:v>2452</x:v>
      </x:c>
      <x:c r="G1068" s="134" t="n">
        <x:v>0</x:v>
      </x:c>
      <x:c r="H1068" s="134" t="n">
        <x:v>224</x:v>
      </x:c>
      <x:c r="I1068" s="134" t="n">
        <x:v>124</x:v>
      </x:c>
      <x:c r="J1068" s="133" t="n">
        <x:v>5.058717253839205</x:v>
      </x:c>
      <x:c r="K1068" s="133" t="n">
        <x:v>5.057096247960848</x:v>
      </x:c>
      <x:c r="L1068" s="133" t="n">
        <x:v>5.0352467270896275</x:v>
      </x:c>
      <x:c r="M1068" s="133" t="n">
        <x:v>5.071664829106946</x:v>
      </x:c>
      <x:c r="N1068" s="133" t="n">
        <x:v>5.128205128205129</x:v>
      </x:c>
      <x:c r="O1068" s="133" t="n">
        <x:v>5.194805194805195</x:v>
      </x:c>
      <x:c r="P1068" s="132"/>
    </x:row>
    <x:row r="1069">
      <x:c r="A1069" s="136" t="str">
        <x:v>01091973300</x:v>
      </x:c>
      <x:c r="B1069" s="132" t="str">
        <x:v>Marengo County</x:v>
      </x:c>
      <x:c r="C1069" s="132" t="n">
        <x:v>0</x:v>
      </x:c>
      <x:c r="D1069" s="134" t="n">
        <x:v>1918</x:v>
      </x:c>
      <x:c r="E1069" s="133" t="n">
        <x:v>13.2</x:v>
      </x:c>
      <x:c r="F1069" s="134" t="n">
        <x:v>1133</x:v>
      </x:c>
      <x:c r="G1069" s="134" t="n">
        <x:v>0</x:v>
      </x:c>
      <x:c r="H1069" s="134" t="n">
        <x:v>213</x:v>
      </x:c>
      <x:c r="I1069" s="134" t="n">
        <x:v>126</x:v>
      </x:c>
      <x:c r="J1069" s="133" t="n">
        <x:v>11.10531803962461</x:v>
      </x:c>
      <x:c r="K1069" s="133" t="n">
        <x:v>11.120917917034422</x:v>
      </x:c>
      <x:c r="L1069" s="133" t="n">
        <x:v>11.019283746556473</x:v>
      </x:c>
      <x:c r="M1069" s="133" t="n">
        <x:v>11.185682326621924</x:v>
      </x:c>
      <x:c r="N1069" s="133" t="n">
        <x:v>14.285714285714286</x:v>
      </x:c>
      <x:c r="O1069" s="133" t="n">
        <x:v>11.320754716981131</x:v>
      </x:c>
      <x:c r="P1069" s="132"/>
    </x:row>
    <x:row r="1070">
      <x:c r="A1070" s="136" t="str">
        <x:v>01083021000</x:v>
      </x:c>
      <x:c r="B1070" s="132" t="str">
        <x:v>Limestone County</x:v>
      </x:c>
      <x:c r="C1070" s="132" t="n">
        <x:v>1</x:v>
      </x:c>
      <x:c r="D1070" s="134" t="n">
        <x:v>2386</x:v>
      </x:c>
      <x:c r="E1070" s="133" t="n">
        <x:v>5.6</x:v>
      </x:c>
      <x:c r="F1070" s="134" t="n">
        <x:v>1508</x:v>
      </x:c>
      <x:c r="G1070" s="134" t="n">
        <x:v>0</x:v>
      </x:c>
      <x:c r="H1070" s="134" t="n">
        <x:v>201</x:v>
      </x:c>
      <x:c r="I1070" s="134" t="n">
        <x:v>127</x:v>
      </x:c>
      <x:c r="J1070" s="133" t="n">
        <x:v>8.424140821458508</x:v>
      </x:c>
      <x:c r="K1070" s="133" t="n">
        <x:v>8.421750663129973</x:v>
      </x:c>
      <x:c r="L1070" s="133" t="n">
        <x:v>8.316831683168317</x:v>
      </x:c>
      <x:c r="M1070" s="133" t="n">
        <x:v>8.291457286432161</x:v>
      </x:c>
      <x:c r="N1070" s="133"/>
      <x:c r="O1070" s="133" t="n">
        <x:v>8.333333333333334</x:v>
      </x:c>
      <x:c r="P1070" s="132"/>
    </x:row>
    <x:row r="1071">
      <x:c r="A1071" s="136" t="str">
        <x:v>01097003711</x:v>
      </x:c>
      <x:c r="B1071" s="132" t="str">
        <x:v>Mobile County</x:v>
      </x:c>
      <x:c r="C1071" s="132" t="n">
        <x:v>1</x:v>
      </x:c>
      <x:c r="D1071" s="134" t="n">
        <x:v>2727</x:v>
      </x:c>
      <x:c r="E1071" s="133" t="n">
        <x:v>4.9</x:v>
      </x:c>
      <x:c r="F1071" s="134" t="n">
        <x:v>1746</x:v>
      </x:c>
      <x:c r="G1071" s="134" t="n">
        <x:v>0</x:v>
      </x:c>
      <x:c r="H1071" s="134" t="n">
        <x:v>199</x:v>
      </x:c>
      <x:c r="I1071" s="134" t="n">
        <x:v>127</x:v>
      </x:c>
      <x:c r="J1071" s="133" t="n">
        <x:v>7.297396406307297</x:v>
      </x:c>
      <x:c r="K1071" s="133" t="n">
        <x:v>7.2737686139747995</x:v>
      </x:c>
      <x:c r="L1071" s="133" t="n">
        <x:v>7.238095238095238</x:v>
      </x:c>
      <x:c r="M1071" s="133" t="n">
        <x:v>7.2368421052631575</x:v>
      </x:c>
      <x:c r="N1071" s="133" t="n">
        <x:v>7.5</x:v>
      </x:c>
      <x:c r="O1071" s="133" t="n">
        <x:v>7.468879668049793</x:v>
      </x:c>
      <x:c r="P1071" s="132"/>
    </x:row>
    <x:row r="1072">
      <x:c r="A1072" s="136" t="str">
        <x:v>01093964300</x:v>
      </x:c>
      <x:c r="B1072" s="132" t="str">
        <x:v>Marion County</x:v>
      </x:c>
      <x:c r="C1072" s="132" t="n">
        <x:v>0</x:v>
      </x:c>
      <x:c r="D1072" s="134" t="n">
        <x:v>4502</x:v>
      </x:c>
      <x:c r="E1072" s="133" t="n">
        <x:v>9.5</x:v>
      </x:c>
      <x:c r="F1072" s="134" t="n">
        <x:v>3166</x:v>
      </x:c>
      <x:c r="G1072" s="134" t="n">
        <x:v>0</x:v>
      </x:c>
      <x:c r="H1072" s="134" t="n">
        <x:v>183</x:v>
      </x:c>
      <x:c r="I1072" s="134" t="n">
        <x:v>128</x:v>
      </x:c>
      <x:c r="J1072" s="133" t="n">
        <x:v>4.0648600621945805</x:v>
      </x:c>
      <x:c r="K1072" s="133" t="n">
        <x:v>4.042956411876184</x:v>
      </x:c>
      <x:c r="L1072" s="133" t="n">
        <x:v>4.022988505747127</x:v>
      </x:c>
      <x:c r="M1072" s="133" t="n">
        <x:v>4.027617951668584</x:v>
      </x:c>
      <x:c r="N1072" s="133" t="n">
        <x:v>3.8095238095238093</x:v>
      </x:c>
      <x:c r="O1072" s="133" t="n">
        <x:v>4.207119741100324</x:v>
      </x:c>
      <x:c r="P1072" s="132"/>
    </x:row>
    <x:row r="1073">
      <x:c r="A1073" s="136" t="str">
        <x:v>01095030602</x:v>
      </x:c>
      <x:c r="B1073" s="132" t="str">
        <x:v>Marshall County</x:v>
      </x:c>
      <x:c r="C1073" s="132" t="n">
        <x:v>0</x:v>
      </x:c>
      <x:c r="D1073" s="134" t="n">
        <x:v>4015</x:v>
      </x:c>
      <x:c r="E1073" s="133" t="n">
        <x:v>25.8</x:v>
      </x:c>
      <x:c r="F1073" s="134" t="n">
        <x:v>2797</x:v>
      </x:c>
      <x:c r="G1073" s="134" t="n">
        <x:v>0</x:v>
      </x:c>
      <x:c r="H1073" s="134" t="n">
        <x:v>184</x:v>
      </x:c>
      <x:c r="I1073" s="134" t="n">
        <x:v>128</x:v>
      </x:c>
      <x:c r="J1073" s="133" t="n">
        <x:v>4.582814445828144</x:v>
      </x:c>
      <x:c r="K1073" s="133" t="n">
        <x:v>4.576331784054344</x:v>
      </x:c>
      <x:c r="L1073" s="133" t="n">
        <x:v>4.531410916580844</x:v>
      </x:c>
      <x:c r="M1073" s="133" t="n">
        <x:v>4.588394062078272</x:v>
      </x:c>
      <x:c r="N1073" s="133" t="n">
        <x:v>4.918032786885246</x:v>
      </x:c>
      <x:c r="O1073" s="133" t="n">
        <x:v>4.430379746835443</x:v>
      </x:c>
      <x:c r="P1073" s="132"/>
    </x:row>
    <x:row r="1074">
      <x:c r="A1074" s="136" t="str">
        <x:v>01109188600</x:v>
      </x:c>
      <x:c r="B1074" s="132" t="str">
        <x:v>Pike County</x:v>
      </x:c>
      <x:c r="C1074" s="132" t="n">
        <x:v>0</x:v>
      </x:c>
      <x:c r="D1074" s="134" t="n">
        <x:v>2183</x:v>
      </x:c>
      <x:c r="E1074" s="133" t="n">
        <x:v>12.8</x:v>
      </x:c>
      <x:c r="F1074" s="134" t="n">
        <x:v>1611</x:v>
      </x:c>
      <x:c r="G1074" s="134" t="n">
        <x:v>0</x:v>
      </x:c>
      <x:c r="H1074" s="134" t="n">
        <x:v>176</x:v>
      </x:c>
      <x:c r="I1074" s="134" t="n">
        <x:v>130</x:v>
      </x:c>
      <x:c r="J1074" s="133" t="n">
        <x:v>8.062299587723317</x:v>
      </x:c>
      <x:c r="K1074" s="133" t="n">
        <x:v>8.069522036002484</x:v>
      </x:c>
      <x:c r="L1074" s="133" t="n">
        <x:v>8.14977973568282</x:v>
      </x:c>
      <x:c r="M1074" s="133" t="n">
        <x:v>7.959183673469388</x:v>
      </x:c>
      <x:c r="N1074" s="133" t="n">
        <x:v>8.333333333333334</x:v>
      </x:c>
      <x:c r="O1074" s="133" t="n">
        <x:v>8.411214953271028</x:v>
      </x:c>
      <x:c r="P1074" s="132"/>
    </x:row>
    <x:row r="1075">
      <x:c r="A1075" s="136" t="str">
        <x:v>01099075600</x:v>
      </x:c>
      <x:c r="B1075" s="132" t="str">
        <x:v>Monroe County</x:v>
      </x:c>
      <x:c r="C1075" s="132" t="n">
        <x:v>0</x:v>
      </x:c>
      <x:c r="D1075" s="134" t="n">
        <x:v>926</x:v>
      </x:c>
      <x:c r="E1075" s="133" t="n">
        <x:v>13.7</x:v>
      </x:c>
      <x:c r="F1075" s="134" t="n">
        <x:v>538</x:v>
      </x:c>
      <x:c r="G1075" s="134" t="n">
        <x:v>0</x:v>
      </x:c>
      <x:c r="H1075" s="134" t="n">
        <x:v>227</x:v>
      </x:c>
      <x:c r="I1075" s="134" t="n">
        <x:v>132</x:v>
      </x:c>
      <x:c r="J1075" s="133" t="n">
        <x:v>24.51403887688985</x:v>
      </x:c>
      <x:c r="K1075" s="133" t="n">
        <x:v>24.53531598513011</x:v>
      </x:c>
      <x:c r="L1075" s="133" t="n">
        <x:v>24.358974358974358</x:v>
      </x:c>
      <x:c r="M1075" s="133" t="n">
        <x:v>24.576271186440678</x:v>
      </x:c>
      <x:c r="N1075" s="133" t="n">
        <x:v>24.137931034482758</x:v>
      </x:c>
      <x:c r="O1075" s="133" t="n">
        <x:v>24.59016393442623</x:v>
      </x:c>
      <x:c r="P1075" s="132"/>
    </x:row>
    <x:row r="1076">
      <x:c r="A1076" s="136" t="str">
        <x:v>01025958003</x:v>
      </x:c>
      <x:c r="B1076" s="132" t="str">
        <x:v>Clarke County</x:v>
      </x:c>
      <x:c r="C1076" s="132" t="n">
        <x:v>0</x:v>
      </x:c>
      <x:c r="D1076" s="134" t="n">
        <x:v>2803</x:v>
      </x:c>
      <x:c r="E1076" s="133" t="n">
        <x:v>27.2</x:v>
      </x:c>
      <x:c r="F1076" s="134" t="n">
        <x:v>1755</x:v>
      </x:c>
      <x:c r="G1076" s="134" t="n">
        <x:v>0</x:v>
      </x:c>
      <x:c r="H1076" s="134" t="n">
        <x:v>212</x:v>
      </x:c>
      <x:c r="I1076" s="134" t="n">
        <x:v>133</x:v>
      </x:c>
      <x:c r="J1076" s="133" t="n">
        <x:v>7.563325008919016</x:v>
      </x:c>
      <x:c r="K1076" s="133" t="n">
        <x:v>7.578347578347579</x:v>
      </x:c>
      <x:c r="L1076" s="133" t="n">
        <x:v>7.575757575757576</x:v>
      </x:c>
      <x:c r="M1076" s="133" t="n">
        <x:v>7.581967213114754</x:v>
      </x:c>
      <x:c r="N1076" s="133" t="n">
        <x:v>7.4576271186440675</x:v>
      </x:c>
      <x:c r="O1076" s="133" t="n">
        <x:v>7.5376884422110555</x:v>
      </x:c>
      <x:c r="P1076" s="132"/>
    </x:row>
    <x:row r="1077">
      <x:c r="A1077" s="136" t="str">
        <x:v>01089002502</x:v>
      </x:c>
      <x:c r="B1077" s="132" t="str">
        <x:v>Madison County</x:v>
      </x:c>
      <x:c r="C1077" s="132" t="n">
        <x:v>1</x:v>
      </x:c>
      <x:c r="D1077" s="134" t="n">
        <x:v>3339</x:v>
      </x:c>
      <x:c r="E1077" s="133" t="n">
        <x:v>5.9</x:v>
      </x:c>
      <x:c r="F1077" s="134" t="n">
        <x:v>1926</x:v>
      </x:c>
      <x:c r="G1077" s="134" t="n">
        <x:v>0</x:v>
      </x:c>
      <x:c r="H1077" s="134" t="n">
        <x:v>230</x:v>
      </x:c>
      <x:c r="I1077" s="134" t="n">
        <x:v>133</x:v>
      </x:c>
      <x:c r="J1077" s="133" t="n">
        <x:v>6.888289907157832</x:v>
      </x:c>
      <x:c r="K1077" s="133" t="n">
        <x:v>6.905503634475597</x:v>
      </x:c>
      <x:c r="L1077" s="133" t="n">
        <x:v>6.948228882833788</x:v>
      </x:c>
      <x:c r="M1077" s="133" t="n">
        <x:v>6.840390879478828</x:v>
      </x:c>
      <x:c r="N1077" s="133" t="n">
        <x:v>7.228915662650603</x:v>
      </x:c>
      <x:c r="O1077" s="133" t="n">
        <x:v>6.896551724137931</x:v>
      </x:c>
      <x:c r="P1077" s="132"/>
    </x:row>
    <x:row r="1078">
      <x:c r="A1078" s="136" t="str">
        <x:v>01087231700</x:v>
      </x:c>
      <x:c r="B1078" s="132" t="str">
        <x:v>Macon County</x:v>
      </x:c>
      <x:c r="C1078" s="132" t="n">
        <x:v>1</x:v>
      </x:c>
      <x:c r="D1078" s="134" t="n">
        <x:v>2191</x:v>
      </x:c>
      <x:c r="E1078" s="133" t="n">
        <x:v>50.4</x:v>
      </x:c>
      <x:c r="F1078" s="134" t="n">
        <x:v>162</x:v>
      </x:c>
      <x:c r="G1078" s="134" t="n">
        <x:v>1</x:v>
      </x:c>
      <x:c r="H1078" s="134" t="n">
        <x:v>1829</x:v>
      </x:c>
      <x:c r="I1078" s="134" t="n">
        <x:v>135</x:v>
      </x:c>
      <x:c r="J1078" s="133" t="n">
        <x:v>83.4778639890461</x:v>
      </x:c>
      <x:c r="K1078" s="133" t="n">
        <x:v>83.33333333333333</x:v>
      </x:c>
      <x:c r="L1078" s="133" t="n">
        <x:v>83.33333333333333</x:v>
      </x:c>
      <x:c r="M1078" s="133" t="n">
        <x:v>84.0909090909091</x:v>
      </x:c>
      <x:c r="N1078" s="133" t="n">
        <x:v>83.60655737704919</x:v>
      </x:c>
      <x:c r="O1078" s="133" t="n">
        <x:v>82.75862068965517</x:v>
      </x:c>
      <x:c r="P1078" s="132"/>
    </x:row>
    <x:row r="1079">
      <x:c r="A1079" s="136" t="str">
        <x:v>01027959100</x:v>
      </x:c>
      <x:c r="B1079" s="132" t="str">
        <x:v>Clay County</x:v>
      </x:c>
      <x:c r="C1079" s="132" t="n">
        <x:v>0</x:v>
      </x:c>
      <x:c r="D1079" s="134" t="n">
        <x:v>2940</x:v>
      </x:c>
      <x:c r="E1079" s="133" t="n">
        <x:v>21</x:v>
      </x:c>
      <x:c r="F1079" s="134" t="n">
        <x:v>1893</x:v>
      </x:c>
      <x:c r="G1079" s="134" t="n">
        <x:v>0</x:v>
      </x:c>
      <x:c r="H1079" s="134" t="n">
        <x:v>212</x:v>
      </x:c>
      <x:c r="I1079" s="134" t="n">
        <x:v>137</x:v>
      </x:c>
      <x:c r="J1079" s="133" t="n">
        <x:v>7.210884353741497</x:v>
      </x:c>
      <x:c r="K1079" s="133" t="n">
        <x:v>7.237189646064448</x:v>
      </x:c>
      <x:c r="L1079" s="133" t="n">
        <x:v>7.202680067001675</x:v>
      </x:c>
      <x:c r="M1079" s="133" t="n">
        <x:v>7.155322862129145</x:v>
      </x:c>
      <x:c r="N1079" s="133" t="n">
        <x:v>6.666666666666667</x:v>
      </x:c>
      <x:c r="O1079" s="133" t="n">
        <x:v>7.222222222222222</x:v>
      </x:c>
      <x:c r="P1079" s="132"/>
    </x:row>
    <x:row r="1080">
      <x:c r="A1080" s="136" t="str">
        <x:v>01073013400</x:v>
      </x:c>
      <x:c r="B1080" s="132" t="str">
        <x:v>Jefferson County</x:v>
      </x:c>
      <x:c r="C1080" s="132" t="n">
        <x:v>1</x:v>
      </x:c>
      <x:c r="D1080" s="134" t="n">
        <x:v>4420</x:v>
      </x:c>
      <x:c r="E1080" s="133" t="n">
        <x:v>20.9</x:v>
      </x:c>
      <x:c r="F1080" s="134" t="n">
        <x:v>2417</x:v>
      </x:c>
      <x:c r="G1080" s="134" t="n">
        <x:v>0</x:v>
      </x:c>
      <x:c r="H1080" s="134" t="n">
        <x:v>255</x:v>
      </x:c>
      <x:c r="I1080" s="134" t="n">
        <x:v>140</x:v>
      </x:c>
      <x:c r="J1080" s="133" t="n">
        <x:v>5.769230769230769</x:v>
      </x:c>
      <x:c r="K1080" s="133" t="n">
        <x:v>5.792304509722797</x:v>
      </x:c>
      <x:c r="L1080" s="133" t="n">
        <x:v>5.737704918032787</x:v>
      </x:c>
      <x:c r="M1080" s="133" t="n">
        <x:v>5.7317073170731705</x:v>
      </x:c>
      <x:c r="N1080" s="133" t="n">
        <x:v>5.405405405405405</x:v>
      </x:c>
      <x:c r="O1080" s="133" t="n">
        <x:v>5.651105651105651</x:v>
      </x:c>
      <x:c r="P1080" s="132"/>
    </x:row>
    <x:row r="1081">
      <x:c r="A1081" s="136" t="str">
        <x:v>01103005303</x:v>
      </x:c>
      <x:c r="B1081" s="132" t="str">
        <x:v>Morgan County</x:v>
      </x:c>
      <x:c r="C1081" s="132" t="n">
        <x:v>1</x:v>
      </x:c>
      <x:c r="D1081" s="134" t="n">
        <x:v>3893</x:v>
      </x:c>
      <x:c r="E1081" s="133" t="n">
        <x:v>13.2</x:v>
      </x:c>
      <x:c r="F1081" s="134" t="n">
        <x:v>2779</x:v>
      </x:c>
      <x:c r="G1081" s="134" t="n">
        <x:v>0</x:v>
      </x:c>
      <x:c r="H1081" s="134" t="n">
        <x:v>196</x:v>
      </x:c>
      <x:c r="I1081" s="134" t="n">
        <x:v>140</x:v>
      </x:c>
      <x:c r="J1081" s="133" t="n">
        <x:v>5.034677626509119</x:v>
      </x:c>
      <x:c r="K1081" s="133" t="n">
        <x:v>5.037783375314861</x:v>
      </x:c>
      <x:c r="L1081" s="133" t="n">
        <x:v>5.017103762827822</x:v>
      </x:c>
      <x:c r="M1081" s="133" t="n">
        <x:v>5.080545229244114</x:v>
      </x:c>
      <x:c r="N1081" s="133" t="n">
        <x:v>4.545454545454546</x:v>
      </x:c>
      <x:c r="O1081" s="133" t="n">
        <x:v>4.845814977973569</x:v>
      </x:c>
      <x:c r="P1081" s="132"/>
    </x:row>
    <x:row r="1082">
      <x:c r="A1082" s="136" t="str">
        <x:v>01091973400</x:v>
      </x:c>
      <x:c r="B1082" s="132" t="str">
        <x:v>Marengo County</x:v>
      </x:c>
      <x:c r="C1082" s="132" t="n">
        <x:v>0</x:v>
      </x:c>
      <x:c r="D1082" s="134" t="n">
        <x:v>4162</x:v>
      </x:c>
      <x:c r="E1082" s="133" t="n">
        <x:v>9.2</x:v>
      </x:c>
      <x:c r="F1082" s="134" t="n">
        <x:v>3335</x:v>
      </x:c>
      <x:c r="G1082" s="134" t="n">
        <x:v>0</x:v>
      </x:c>
      <x:c r="H1082" s="134" t="n">
        <x:v>175</x:v>
      </x:c>
      <x:c r="I1082" s="134" t="n">
        <x:v>141</x:v>
      </x:c>
      <x:c r="J1082" s="133" t="n">
        <x:v>4.204709274387314</x:v>
      </x:c>
      <x:c r="K1082" s="133" t="n">
        <x:v>4.227886056971514</x:v>
      </x:c>
      <x:c r="L1082" s="133" t="n">
        <x:v>4.171240395170143</x:v>
      </x:c>
      <x:c r="M1082" s="133" t="n">
        <x:v>4.23634336677815</x:v>
      </x:c>
      <x:c r="N1082" s="133" t="n">
        <x:v>3.9548022598870056</x:v>
      </x:c>
      <x:c r="O1082" s="133" t="n">
        <x:v>4.405286343612334</x:v>
      </x:c>
      <x:c r="P1082" s="132"/>
    </x:row>
    <x:row r="1083">
      <x:c r="A1083" s="136" t="str">
        <x:v>01113030700</x:v>
      </x:c>
      <x:c r="B1083" s="132" t="str">
        <x:v>Russell County</x:v>
      </x:c>
      <x:c r="C1083" s="132" t="n">
        <x:v>1</x:v>
      </x:c>
      <x:c r="D1083" s="134" t="n">
        <x:v>3619</x:v>
      </x:c>
      <x:c r="E1083" s="133" t="n">
        <x:v>25.6</x:v>
      </x:c>
      <x:c r="F1083" s="134" t="n">
        <x:v>1702</x:v>
      </x:c>
      <x:c r="G1083" s="134" t="n">
        <x:v>0</x:v>
      </x:c>
      <x:c r="H1083" s="134" t="n">
        <x:v>304</x:v>
      </x:c>
      <x:c r="I1083" s="134" t="n">
        <x:v>143</x:v>
      </x:c>
      <x:c r="J1083" s="133" t="n">
        <x:v>8.400110527770103</x:v>
      </x:c>
      <x:c r="K1083" s="133" t="n">
        <x:v>8.401880141010576</x:v>
      </x:c>
      <x:c r="L1083" s="133" t="n">
        <x:v>8.36734693877551</x:v>
      </x:c>
      <x:c r="M1083" s="133" t="n">
        <x:v>8.488612836438923</x:v>
      </x:c>
      <x:c r="N1083" s="133" t="n">
        <x:v>8.503401360544217</x:v>
      </x:c>
      <x:c r="O1083" s="133" t="n">
        <x:v>8.422939068100359</x:v>
      </x:c>
      <x:c r="P1083" s="132"/>
    </x:row>
    <x:row r="1084">
      <x:c r="A1084" s="136" t="str">
        <x:v>01125012404</x:v>
      </x:c>
      <x:c r="B1084" s="132" t="str">
        <x:v>Tuscaloosa County</x:v>
      </x:c>
      <x:c r="C1084" s="132" t="n">
        <x:v>1</x:v>
      </x:c>
      <x:c r="D1084" s="134" t="n">
        <x:v>3908</x:v>
      </x:c>
      <x:c r="E1084" s="133" t="n">
        <x:v>22.4</x:v>
      </x:c>
      <x:c r="F1084" s="134" t="n">
        <x:v>2077</x:v>
      </x:c>
      <x:c r="G1084" s="134" t="n">
        <x:v>0</x:v>
      </x:c>
      <x:c r="H1084" s="134" t="n">
        <x:v>269</x:v>
      </x:c>
      <x:c r="I1084" s="134" t="n">
        <x:v>143</x:v>
      </x:c>
      <x:c r="J1084" s="133" t="n">
        <x:v>6.883316274309109</x:v>
      </x:c>
      <x:c r="K1084" s="133" t="n">
        <x:v>6.8849301877708236</x:v>
      </x:c>
      <x:c r="L1084" s="133" t="n">
        <x:v>6.83311432325887</x:v>
      </x:c>
      <x:c r="M1084" s="133" t="n">
        <x:v>6.813627254509018</x:v>
      </x:c>
      <x:c r="N1084" s="133" t="n">
        <x:v>6.936416184971098</x:v>
      </x:c>
      <x:c r="O1084" s="133" t="n">
        <x:v>6.844106463878327</x:v>
      </x:c>
      <x:c r="P1084" s="132"/>
    </x:row>
    <x:row r="1085">
      <x:c r="A1085" s="136" t="str">
        <x:v>01097003502</x:v>
      </x:c>
      <x:c r="B1085" s="132" t="str">
        <x:v>Mobile County</x:v>
      </x:c>
      <x:c r="C1085" s="132" t="n">
        <x:v>1</x:v>
      </x:c>
      <x:c r="D1085" s="134" t="n">
        <x:v>2715</x:v>
      </x:c>
      <x:c r="E1085" s="133" t="n">
        <x:v>3</x:v>
      </x:c>
      <x:c r="F1085" s="134" t="n">
        <x:v>2554</x:v>
      </x:c>
      <x:c r="G1085" s="134" t="n">
        <x:v>0</x:v>
      </x:c>
      <x:c r="H1085" s="134" t="n">
        <x:v>154</x:v>
      </x:c>
      <x:c r="I1085" s="134" t="n">
        <x:v>145</x:v>
      </x:c>
      <x:c r="J1085" s="133" t="n">
        <x:v>5.672191528545119</x:v>
      </x:c>
      <x:c r="K1085" s="133" t="n">
        <x:v>5.677368833202819</x:v>
      </x:c>
      <x:c r="L1085" s="133" t="n">
        <x:v>5.592105263157895</x:v>
      </x:c>
      <x:c r="M1085" s="133" t="n">
        <x:v>5.691056910569106</x:v>
      </x:c>
      <x:c r="N1085" s="133" t="n">
        <x:v>10</x:v>
      </x:c>
      <x:c r="O1085" s="133"/>
      <x:c r="P1085" s="132"/>
    </x:row>
    <x:row r="1086">
      <x:c r="A1086" s="136" t="str">
        <x:v>01073013002</x:v>
      </x:c>
      <x:c r="B1086" s="132" t="str">
        <x:v>Jefferson County</x:v>
      </x:c>
      <x:c r="C1086" s="132" t="n">
        <x:v>1</x:v>
      </x:c>
      <x:c r="D1086" s="134" t="n">
        <x:v>1811</x:v>
      </x:c>
      <x:c r="E1086" s="133" t="n">
        <x:v>39.7</x:v>
      </x:c>
      <x:c r="F1086" s="134" t="n">
        <x:v>667</x:v>
      </x:c>
      <x:c r="G1086" s="134" t="n">
        <x:v>0</x:v>
      </x:c>
      <x:c r="H1086" s="134" t="n">
        <x:v>397</x:v>
      </x:c>
      <x:c r="I1086" s="134" t="n">
        <x:v>146</x:v>
      </x:c>
      <x:c r="J1086" s="133" t="n">
        <x:v>21.921590281612367</x:v>
      </x:c>
      <x:c r="K1086" s="133" t="n">
        <x:v>21.88905547226387</x:v>
      </x:c>
      <x:c r="L1086" s="133" t="n">
        <x:v>21.8436873747495</x:v>
      </x:c>
      <x:c r="M1086" s="133" t="n">
        <x:v>21.823204419889503</x:v>
      </x:c>
      <x:c r="N1086" s="133" t="n">
        <x:v>21.965317919075144</x:v>
      </x:c>
      <x:c r="O1086" s="133" t="n">
        <x:v>21.823204419889503</x:v>
      </x:c>
      <x:c r="P1086" s="132"/>
    </x:row>
    <x:row r="1087">
      <x:c r="A1087" s="136" t="str">
        <x:v>01059973400</x:v>
      </x:c>
      <x:c r="B1087" s="132" t="str">
        <x:v>Franklin County</x:v>
      </x:c>
      <x:c r="C1087" s="132" t="n">
        <x:v>0</x:v>
      </x:c>
      <x:c r="D1087" s="134" t="n">
        <x:v>2682</x:v>
      </x:c>
      <x:c r="E1087" s="133" t="n">
        <x:v>23.3</x:v>
      </x:c>
      <x:c r="F1087" s="134" t="n">
        <x:v>1278</x:v>
      </x:c>
      <x:c r="G1087" s="134" t="n">
        <x:v>0</x:v>
      </x:c>
      <x:c r="H1087" s="134" t="n">
        <x:v>311</x:v>
      </x:c>
      <x:c r="I1087" s="134" t="n">
        <x:v>148</x:v>
      </x:c>
      <x:c r="J1087" s="133" t="n">
        <x:v>11.595824011931395</x:v>
      </x:c>
      <x:c r="K1087" s="133" t="n">
        <x:v>11.580594679186229</x:v>
      </x:c>
      <x:c r="L1087" s="133" t="n">
        <x:v>11.557788944723619</x:v>
      </x:c>
      <x:c r="M1087" s="133" t="n">
        <x:v>11.525974025974026</x:v>
      </x:c>
      <x:c r="N1087" s="133" t="n">
        <x:v>11.475409836065573</x:v>
      </x:c>
      <x:c r="O1087" s="133" t="n">
        <x:v>11.764705882352942</x:v>
      </x:c>
      <x:c r="P1087" s="132"/>
    </x:row>
    <x:row r="1088">
      <x:c r="A1088" s="136" t="str">
        <x:v>01091973002</x:v>
      </x:c>
      <x:c r="B1088" s="132" t="str">
        <x:v>Marengo County</x:v>
      </x:c>
      <x:c r="C1088" s="132" t="n">
        <x:v>0</x:v>
      </x:c>
      <x:c r="D1088" s="134" t="n">
        <x:v>2829</x:v>
      </x:c>
      <x:c r="E1088" s="133" t="n">
        <x:v>24.6</x:v>
      </x:c>
      <x:c r="F1088" s="134" t="n">
        <x:v>1214</x:v>
      </x:c>
      <x:c r="G1088" s="134" t="n">
        <x:v>0</x:v>
      </x:c>
      <x:c r="H1088" s="134" t="n">
        <x:v>348</x:v>
      </x:c>
      <x:c r="I1088" s="134" t="n">
        <x:v>149</x:v>
      </x:c>
      <x:c r="J1088" s="133" t="n">
        <x:v>12.30116648992577</x:v>
      </x:c>
      <x:c r="K1088" s="133" t="n">
        <x:v>12.273476112026358</x:v>
      </x:c>
      <x:c r="L1088" s="133" t="n">
        <x:v>12.280701754385966</x:v>
      </x:c>
      <x:c r="M1088" s="133" t="n">
        <x:v>12.244897959183673</x:v>
      </x:c>
      <x:c r="N1088" s="133" t="n">
        <x:v>13.157894736842104</x:v>
      </x:c>
      <x:c r="O1088" s="133" t="n">
        <x:v>12.592592592592593</x:v>
      </x:c>
      <x:c r="P1088" s="132"/>
    </x:row>
    <x:row r="1089">
      <x:c r="A1089" s="136" t="str">
        <x:v>01053970200</x:v>
      </x:c>
      <x:c r="B1089" s="132" t="str">
        <x:v>Escambia County</x:v>
      </x:c>
      <x:c r="C1089" s="132" t="n">
        <x:v>1</x:v>
      </x:c>
      <x:c r="D1089" s="134" t="n">
        <x:v>1578</x:v>
      </x:c>
      <x:c r="E1089" s="133" t="n">
        <x:v>21.2</x:v>
      </x:c>
      <x:c r="F1089" s="134" t="n">
        <x:v>704</x:v>
      </x:c>
      <x:c r="G1089" s="134" t="n">
        <x:v>0</x:v>
      </x:c>
      <x:c r="H1089" s="134" t="n">
        <x:v>338</x:v>
      </x:c>
      <x:c r="I1089" s="134" t="n">
        <x:v>151</x:v>
      </x:c>
      <x:c r="J1089" s="133" t="n">
        <x:v>21.419518377693283</x:v>
      </x:c>
      <x:c r="K1089" s="133" t="n">
        <x:v>21.448863636363637</x:v>
      </x:c>
      <x:c r="L1089" s="133" t="n">
        <x:v>21.40468227424749</x:v>
      </x:c>
      <x:c r="M1089" s="133" t="n">
        <x:v>21.428571428571427</x:v>
      </x:c>
      <x:c r="N1089" s="133" t="n">
        <x:v>16.666666666666668</x:v>
      </x:c>
      <x:c r="O1089" s="133" t="n">
        <x:v>21.428571428571427</x:v>
      </x:c>
      <x:c r="P1089" s="132"/>
    </x:row>
    <x:row r="1090">
      <x:c r="A1090" s="136" t="str">
        <x:v>01073001400</x:v>
      </x:c>
      <x:c r="B1090" s="132" t="str">
        <x:v>Jefferson County</x:v>
      </x:c>
      <x:c r="C1090" s="132" t="n">
        <x:v>1</x:v>
      </x:c>
      <x:c r="D1090" s="134" t="n">
        <x:v>1791</x:v>
      </x:c>
      <x:c r="E1090" s="133" t="n">
        <x:v>26</x:v>
      </x:c>
      <x:c r="F1090" s="134" t="n">
        <x:v>905</x:v>
      </x:c>
      <x:c r="G1090" s="134" t="n">
        <x:v>0</x:v>
      </x:c>
      <x:c r="H1090" s="134" t="n">
        <x:v>301</x:v>
      </x:c>
      <x:c r="I1090" s="134" t="n">
        <x:v>152</x:v>
      </x:c>
      <x:c r="J1090" s="133" t="n">
        <x:v>16.806253489670574</x:v>
      </x:c>
      <x:c r="K1090" s="133" t="n">
        <x:v>16.795580110497237</x:v>
      </x:c>
      <x:c r="L1090" s="133" t="n">
        <x:v>16.666666666666668</x:v>
      </x:c>
      <x:c r="M1090" s="133" t="n">
        <x:v>16.74757281553398</x:v>
      </x:c>
      <x:c r="N1090" s="133" t="n">
        <x:v>16.949152542372882</x:v>
      </x:c>
      <x:c r="O1090" s="133" t="n">
        <x:v>16.722408026755854</x:v>
      </x:c>
      <x:c r="P1090" s="132"/>
    </x:row>
    <x:row r="1091">
      <x:c r="A1091" s="136" t="str">
        <x:v>01097005900</x:v>
      </x:c>
      <x:c r="B1091" s="132" t="str">
        <x:v>Mobile County</x:v>
      </x:c>
      <x:c r="C1091" s="132" t="n">
        <x:v>0</x:v>
      </x:c>
      <x:c r="D1091" s="134" t="n">
        <x:v>4645</x:v>
      </x:c>
      <x:c r="E1091" s="133" t="n">
        <x:v>20.7</x:v>
      </x:c>
      <x:c r="F1091" s="134" t="n">
        <x:v>2895</x:v>
      </x:c>
      <x:c r="G1091" s="134" t="n">
        <x:v>0</x:v>
      </x:c>
      <x:c r="H1091" s="134" t="n">
        <x:v>245</x:v>
      </x:c>
      <x:c r="I1091" s="134" t="n">
        <x:v>153</x:v>
      </x:c>
      <x:c r="J1091" s="133" t="n">
        <x:v>5.27448869752422</x:v>
      </x:c>
      <x:c r="K1091" s="133" t="n">
        <x:v>5.284974093264249</x:v>
      </x:c>
      <x:c r="L1091" s="133" t="n">
        <x:v>5.304347826086956</x:v>
      </x:c>
      <x:c r="M1091" s="133" t="n">
        <x:v>5.212121212121212</x:v>
      </x:c>
      <x:c r="N1091" s="133" t="n">
        <x:v>4.878048780487805</x:v>
      </x:c>
      <x:c r="O1091" s="133" t="n">
        <x:v>5.3627760252365935</x:v>
      </x:c>
      <x:c r="P1091" s="132"/>
    </x:row>
    <x:row r="1092">
      <x:c r="A1092" s="136" t="str">
        <x:v>01065040500</x:v>
      </x:c>
      <x:c r="B1092" s="132" t="str">
        <x:v>Hale County</x:v>
      </x:c>
      <x:c r="C1092" s="132" t="n">
        <x:v>0</x:v>
      </x:c>
      <x:c r="D1092" s="134" t="n">
        <x:v>1480</x:v>
      </x:c>
      <x:c r="E1092" s="133" t="n">
        <x:v>13.7</x:v>
      </x:c>
      <x:c r="F1092" s="134" t="n">
        <x:v>889</x:v>
      </x:c>
      <x:c r="G1092" s="134" t="n">
        <x:v>0</x:v>
      </x:c>
      <x:c r="H1092" s="134" t="n">
        <x:v>258</x:v>
      </x:c>
      <x:c r="I1092" s="134" t="n">
        <x:v>155</x:v>
      </x:c>
      <x:c r="J1092" s="133" t="n">
        <x:v>17.43243243243243</x:v>
      </x:c>
      <x:c r="K1092" s="133" t="n">
        <x:v>17.435320584926885</x:v>
      </x:c>
      <x:c r="L1092" s="133" t="n">
        <x:v>17.49271137026239</x:v>
      </x:c>
      <x:c r="M1092" s="133" t="n">
        <x:v>17.515923566878982</x:v>
      </x:c>
      <x:c r="N1092" s="133" t="n">
        <x:v>16.923076923076923</x:v>
      </x:c>
      <x:c r="O1092" s="133" t="n">
        <x:v>17.647058823529413</x:v>
      </x:c>
      <x:c r="P1092" s="132"/>
    </x:row>
    <x:row r="1093">
      <x:c r="A1093" s="136" t="str">
        <x:v>01097003203</x:v>
      </x:c>
      <x:c r="B1093" s="132" t="str">
        <x:v>Mobile County</x:v>
      </x:c>
      <x:c r="C1093" s="132" t="n">
        <x:v>1</x:v>
      </x:c>
      <x:c r="D1093" s="134" t="n">
        <x:v>3656</x:v>
      </x:c>
      <x:c r="E1093" s="133" t="n">
        <x:v>18.4</x:v>
      </x:c>
      <x:c r="F1093" s="134" t="n">
        <x:v>1890</x:v>
      </x:c>
      <x:c r="G1093" s="134" t="n">
        <x:v>0</x:v>
      </x:c>
      <x:c r="H1093" s="134" t="n">
        <x:v>300</x:v>
      </x:c>
      <x:c r="I1093" s="134" t="n">
        <x:v>155</x:v>
      </x:c>
      <x:c r="J1093" s="133" t="n">
        <x:v>8.205689277899344</x:v>
      </x:c>
      <x:c r="K1093" s="133" t="n">
        <x:v>8.201058201058201</x:v>
      </x:c>
      <x:c r="L1093" s="133" t="n">
        <x:v>8.249721293199554</x:v>
      </x:c>
      <x:c r="M1093" s="133" t="n">
        <x:v>8.142493638676845</x:v>
      </x:c>
      <x:c r="N1093" s="133" t="n">
        <x:v>8.51063829787234</x:v>
      </x:c>
      <x:c r="O1093" s="133" t="n">
        <x:v>8.333333333333334</x:v>
      </x:c>
      <x:c r="P1093" s="132"/>
    </x:row>
    <x:row r="1094">
      <x:c r="A1094" s="136" t="str">
        <x:v>01019955900</x:v>
      </x:c>
      <x:c r="B1094" s="132" t="str">
        <x:v>Cherokee County</x:v>
      </x:c>
      <x:c r="C1094" s="132" t="n">
        <x:v>0</x:v>
      </x:c>
      <x:c r="D1094" s="134" t="n">
        <x:v>4171</x:v>
      </x:c>
      <x:c r="E1094" s="133" t="n">
        <x:v>15.4</x:v>
      </x:c>
      <x:c r="F1094" s="134" t="n">
        <x:v>3135</x:v>
      </x:c>
      <x:c r="G1094" s="134" t="n">
        <x:v>0</x:v>
      </x:c>
      <x:c r="H1094" s="134" t="n">
        <x:v>210</x:v>
      </x:c>
      <x:c r="I1094" s="134" t="n">
        <x:v>158</x:v>
      </x:c>
      <x:c r="J1094" s="133" t="n">
        <x:v>5.034763845600575</x:v>
      </x:c>
      <x:c r="K1094" s="133" t="n">
        <x:v>5.039872408293461</x:v>
      </x:c>
      <x:c r="L1094" s="133" t="n">
        <x:v>5.063291139240507</x:v>
      </x:c>
      <x:c r="M1094" s="133" t="n">
        <x:v>5.012531328320802</x:v>
      </x:c>
      <x:c r="N1094" s="133"/>
      <x:c r="O1094" s="133" t="n">
        <x:v>4.838709677419355</x:v>
      </x:c>
      <x:c r="P1094" s="132"/>
    </x:row>
    <x:row r="1095">
      <x:c r="A1095" s="136" t="str">
        <x:v>01087232000</x:v>
      </x:c>
      <x:c r="B1095" s="132" t="str">
        <x:v>Macon County</x:v>
      </x:c>
      <x:c r="C1095" s="132" t="n">
        <x:v>1</x:v>
      </x:c>
      <x:c r="D1095" s="134" t="n">
        <x:v>1583</x:v>
      </x:c>
      <x:c r="E1095" s="133" t="n">
        <x:v>18.1</x:v>
      </x:c>
      <x:c r="F1095" s="134" t="n">
        <x:v>730</x:v>
      </x:c>
      <x:c r="G1095" s="134" t="n">
        <x:v>0</x:v>
      </x:c>
      <x:c r="H1095" s="134" t="n">
        <x:v>343</x:v>
      </x:c>
      <x:c r="I1095" s="134" t="n">
        <x:v>158</x:v>
      </x:c>
      <x:c r="J1095" s="133" t="n">
        <x:v>21.667719519898927</x:v>
      </x:c>
      <x:c r="K1095" s="133" t="n">
        <x:v>21.643835616438356</x:v>
      </x:c>
      <x:c r="L1095" s="133" t="n">
        <x:v>21.678321678321677</x:v>
      </x:c>
      <x:c r="M1095" s="133" t="n">
        <x:v>21.75</x:v>
      </x:c>
      <x:c r="N1095" s="133" t="n">
        <x:v>21.21212121212121</x:v>
      </x:c>
      <x:c r="O1095" s="133" t="n">
        <x:v>21.05263157894737</x:v>
      </x:c>
      <x:c r="P1095" s="132"/>
    </x:row>
    <x:row r="1096">
      <x:c r="A1096" s="136" t="str">
        <x:v>01097006411</x:v>
      </x:c>
      <x:c r="B1096" s="132" t="str">
        <x:v>Mobile County</x:v>
      </x:c>
      <x:c r="C1096" s="132" t="n">
        <x:v>1</x:v>
      </x:c>
      <x:c r="D1096" s="134" t="n">
        <x:v>5045</x:v>
      </x:c>
      <x:c r="E1096" s="133" t="n">
        <x:v>3.8</x:v>
      </x:c>
      <x:c r="F1096" s="134" t="n">
        <x:v>3201</x:v>
      </x:c>
      <x:c r="G1096" s="134" t="n">
        <x:v>0</x:v>
      </x:c>
      <x:c r="H1096" s="134" t="n">
        <x:v>249</x:v>
      </x:c>
      <x:c r="I1096" s="134" t="n">
        <x:v>158</x:v>
      </x:c>
      <x:c r="J1096" s="133" t="n">
        <x:v>4.935579781962339</x:v>
      </x:c>
      <x:c r="K1096" s="133" t="n">
        <x:v>4.935957513277101</x:v>
      </x:c>
      <x:c r="L1096" s="133" t="n">
        <x:v>4.953820319059614</x:v>
      </x:c>
      <x:c r="M1096" s="133" t="n">
        <x:v>4.994192799070848</x:v>
      </x:c>
      <x:c r="N1096" s="133"/>
      <x:c r="O1096" s="133" t="n">
        <x:v>4.844290657439446</x:v>
      </x:c>
      <x:c r="P1096" s="132"/>
    </x:row>
    <x:row r="1097">
      <x:c r="A1097" s="136" t="str">
        <x:v>01071950301</x:v>
      </x:c>
      <x:c r="B1097" s="132" t="str">
        <x:v>Jackson County</x:v>
      </x:c>
      <x:c r="C1097" s="132" t="n">
        <x:v>0</x:v>
      </x:c>
      <x:c r="D1097" s="134" t="n">
        <x:v>2628</x:v>
      </x:c>
      <x:c r="E1097" s="133" t="n">
        <x:v>14.9</x:v>
      </x:c>
      <x:c r="F1097" s="134" t="n">
        <x:v>1372</x:v>
      </x:c>
      <x:c r="G1097" s="134" t="n">
        <x:v>0</x:v>
      </x:c>
      <x:c r="H1097" s="134" t="n">
        <x:v>304</x:v>
      </x:c>
      <x:c r="I1097" s="134" t="n">
        <x:v>159</x:v>
      </x:c>
      <x:c r="J1097" s="133" t="n">
        <x:v>11.567732115677321</x:v>
      </x:c>
      <x:c r="K1097" s="133" t="n">
        <x:v>11.588921282798834</x:v>
      </x:c>
      <x:c r="L1097" s="133" t="n">
        <x:v>11.545293072824157</x:v>
      </x:c>
      <x:c r="M1097" s="133" t="n">
        <x:v>11.552346570397113</x:v>
      </x:c>
      <x:c r="N1097" s="133" t="n">
        <x:v>0</x:v>
      </x:c>
      <x:c r="O1097" s="133" t="n">
        <x:v>11.711711711711711</x:v>
      </x:c>
      <x:c r="P1097" s="132"/>
    </x:row>
    <x:row r="1098">
      <x:c r="A1098" s="136" t="str">
        <x:v>01097003000</x:v>
      </x:c>
      <x:c r="B1098" s="132" t="str">
        <x:v>Mobile County</x:v>
      </x:c>
      <x:c r="C1098" s="132" t="n">
        <x:v>1</x:v>
      </x:c>
      <x:c r="D1098" s="134" t="n">
        <x:v>3515</x:v>
      </x:c>
      <x:c r="E1098" s="133" t="n">
        <x:v>11.9</x:v>
      </x:c>
      <x:c r="F1098" s="134" t="n">
        <x:v>1543</x:v>
      </x:c>
      <x:c r="G1098" s="134" t="n">
        <x:v>0</x:v>
      </x:c>
      <x:c r="H1098" s="134" t="n">
        <x:v>371</x:v>
      </x:c>
      <x:c r="I1098" s="134" t="n">
        <x:v>163</x:v>
      </x:c>
      <x:c r="J1098" s="133" t="n">
        <x:v>10.554765291607398</x:v>
      </x:c>
      <x:c r="K1098" s="133" t="n">
        <x:v>10.563836681788723</x:v>
      </x:c>
      <x:c r="L1098" s="133" t="n">
        <x:v>10.554803788903925</x:v>
      </x:c>
      <x:c r="M1098" s="133" t="n">
        <x:v>10.518731988472622</x:v>
      </x:c>
      <x:c r="N1098" s="133" t="n">
        <x:v>10.256410256410257</x:v>
      </x:c>
      <x:c r="O1098" s="133" t="n">
        <x:v>10.658307210031348</x:v>
      </x:c>
      <x:c r="P1098" s="132"/>
    </x:row>
    <x:row r="1099">
      <x:c r="A1099" s="136" t="str">
        <x:v>01127021300</x:v>
      </x:c>
      <x:c r="B1099" s="132" t="str">
        <x:v>Walker County</x:v>
      </x:c>
      <x:c r="C1099" s="132" t="n">
        <x:v>0</x:v>
      </x:c>
      <x:c r="D1099" s="134" t="n">
        <x:v>3531</x:v>
      </x:c>
      <x:c r="E1099" s="133" t="n">
        <x:v>22.6</x:v>
      </x:c>
      <x:c r="F1099" s="134" t="n">
        <x:v>1709</x:v>
      </x:c>
      <x:c r="G1099" s="134" t="n">
        <x:v>0</x:v>
      </x:c>
      <x:c r="H1099" s="134" t="n">
        <x:v>337</x:v>
      </x:c>
      <x:c r="I1099" s="134" t="n">
        <x:v>163</x:v>
      </x:c>
      <x:c r="J1099" s="133" t="n">
        <x:v>9.544038516001132</x:v>
      </x:c>
      <x:c r="K1099" s="133" t="n">
        <x:v>9.537741369221767</x:v>
      </x:c>
      <x:c r="L1099" s="133" t="n">
        <x:v>9.482758620689655</x:v>
      </x:c>
      <x:c r="M1099" s="133" t="n">
        <x:v>9.59079283887468</x:v>
      </x:c>
      <x:c r="N1099" s="133" t="n">
        <x:v>9.67741935483871</x:v>
      </x:c>
      <x:c r="O1099" s="133" t="n">
        <x:v>9.30232558139535</x:v>
      </x:c>
      <x:c r="P1099" s="132"/>
    </x:row>
    <x:row r="1100">
      <x:c r="A1100" s="136" t="str">
        <x:v>01101005302</x:v>
      </x:c>
      <x:c r="B1100" s="132" t="str">
        <x:v>Montgomery County</x:v>
      </x:c>
      <x:c r="C1100" s="132" t="n">
        <x:v>1</x:v>
      </x:c>
      <x:c r="D1100" s="134" t="n">
        <x:v>2198</x:v>
      </x:c>
      <x:c r="E1100" s="133" t="n">
        <x:v>26.8</x:v>
      </x:c>
      <x:c r="F1100" s="134" t="n">
        <x:v>1152</x:v>
      </x:c>
      <x:c r="G1100" s="134" t="n">
        <x:v>0</x:v>
      </x:c>
      <x:c r="H1100" s="134" t="n">
        <x:v>313</x:v>
      </x:c>
      <x:c r="I1100" s="134" t="n">
        <x:v>164</x:v>
      </x:c>
      <x:c r="J1100" s="133" t="n">
        <x:v>14.24021838034577</x:v>
      </x:c>
      <x:c r="K1100" s="133" t="n">
        <x:v>14.23611111111111</x:v>
      </x:c>
      <x:c r="L1100" s="133" t="n">
        <x:v>14.285714285714286</x:v>
      </x:c>
      <x:c r="M1100" s="133" t="n">
        <x:v>14.462809917355372</x:v>
      </x:c>
      <x:c r="N1100" s="133" t="n">
        <x:v>14.285714285714286</x:v>
      </x:c>
      <x:c r="O1100" s="133" t="n">
        <x:v>14.245810055865922</x:v>
      </x:c>
      <x:c r="P1100" s="132"/>
    </x:row>
    <x:row r="1101">
      <x:c r="A1101" s="136" t="str">
        <x:v>01073002100</x:v>
      </x:c>
      <x:c r="B1101" s="132" t="str">
        <x:v>Jefferson County</x:v>
      </x:c>
      <x:c r="C1101" s="132" t="n">
        <x:v>1</x:v>
      </x:c>
      <x:c r="D1101" s="134" t="n">
        <x:v>2986</x:v>
      </x:c>
      <x:c r="E1101" s="133" t="n">
        <x:v>34</x:v>
      </x:c>
      <x:c r="F1101" s="134" t="n">
        <x:v>1140</x:v>
      </x:c>
      <x:c r="G1101" s="134" t="n">
        <x:v>0</x:v>
      </x:c>
      <x:c r="H1101" s="134" t="n">
        <x:v>432</x:v>
      </x:c>
      <x:c r="I1101" s="134" t="n">
        <x:v>165</x:v>
      </x:c>
      <x:c r="J1101" s="133" t="n">
        <x:v>14.467515070328199</x:v>
      </x:c>
      <x:c r="K1101" s="133" t="n">
        <x:v>14.473684210526315</x:v>
      </x:c>
      <x:c r="L1101" s="133" t="n">
        <x:v>14.513788098693759</x:v>
      </x:c>
      <x:c r="M1101" s="133" t="n">
        <x:v>14.383561643835616</x:v>
      </x:c>
      <x:c r="N1101" s="133" t="n">
        <x:v>14.393939393939394</x:v>
      </x:c>
      <x:c r="O1101" s="133" t="n">
        <x:v>14.508928571428571</x:v>
      </x:c>
      <x:c r="P1101" s="132"/>
    </x:row>
    <x:row r="1102">
      <x:c r="A1102" s="136" t="str">
        <x:v>01069040301</x:v>
      </x:c>
      <x:c r="B1102" s="132" t="str">
        <x:v>Houston County</x:v>
      </x:c>
      <x:c r="C1102" s="132" t="n">
        <x:v>1</x:v>
      </x:c>
      <x:c r="D1102" s="134" t="n">
        <x:v>3883</x:v>
      </x:c>
      <x:c r="E1102" s="133" t="n">
        <x:v>16</x:v>
      </x:c>
      <x:c r="F1102" s="134" t="n">
        <x:v>2289</x:v>
      </x:c>
      <x:c r="G1102" s="134" t="n">
        <x:v>0</x:v>
      </x:c>
      <x:c r="H1102" s="134" t="n">
        <x:v>281</x:v>
      </x:c>
      <x:c r="I1102" s="134" t="n">
        <x:v>166</x:v>
      </x:c>
      <x:c r="J1102" s="133" t="n">
        <x:v>7.23667267576616</x:v>
      </x:c>
      <x:c r="K1102" s="133" t="n">
        <x:v>7.252075141983399</x:v>
      </x:c>
      <x:c r="L1102" s="133" t="n">
        <x:v>7.246376811594203</x:v>
      </x:c>
      <x:c r="M1102" s="133" t="n">
        <x:v>7.221350078492936</x:v>
      </x:c>
      <x:c r="N1102" s="133" t="n">
        <x:v>6.923076923076923</x:v>
      </x:c>
      <x:c r="O1102" s="133" t="n">
        <x:v>7.43801652892562</x:v>
      </x:c>
      <x:c r="P1102" s="132"/>
    </x:row>
    <x:row r="1103">
      <x:c r="A1103" s="136" t="str">
        <x:v>01073011209</x:v>
      </x:c>
      <x:c r="B1103" s="132" t="str">
        <x:v>Jefferson County</x:v>
      </x:c>
      <x:c r="C1103" s="132" t="n">
        <x:v>1</x:v>
      </x:c>
      <x:c r="D1103" s="134" t="n">
        <x:v>3236</x:v>
      </x:c>
      <x:c r="E1103" s="133" t="n">
        <x:v>24.5</x:v>
      </x:c>
      <x:c r="F1103" s="134" t="n">
        <x:v>1439</x:v>
      </x:c>
      <x:c r="G1103" s="134" t="n">
        <x:v>0</x:v>
      </x:c>
      <x:c r="H1103" s="134" t="n">
        <x:v>374</x:v>
      </x:c>
      <x:c r="I1103" s="134" t="n">
        <x:v>166</x:v>
      </x:c>
      <x:c r="J1103" s="133" t="n">
        <x:v>11.557478368355994</x:v>
      </x:c>
      <x:c r="K1103" s="133" t="n">
        <x:v>11.53578874218207</x:v>
      </x:c>
      <x:c r="L1103" s="133" t="n">
        <x:v>11.556829035339064</x:v>
      </x:c>
      <x:c r="M1103" s="133" t="n">
        <x:v>11.450381679389313</x:v>
      </x:c>
      <x:c r="N1103" s="133" t="n">
        <x:v>11.666666666666666</x:v>
      </x:c>
      <x:c r="O1103" s="133" t="n">
        <x:v>11.464968152866241</x:v>
      </x:c>
      <x:c r="P1103" s="132"/>
    </x:row>
    <x:row r="1104">
      <x:c r="A1104" s="136" t="str">
        <x:v>01081040904</x:v>
      </x:c>
      <x:c r="B1104" s="132" t="str">
        <x:v>Lee County</x:v>
      </x:c>
      <x:c r="C1104" s="132" t="n">
        <x:v>1</x:v>
      </x:c>
      <x:c r="D1104" s="134" t="n">
        <x:v>5637</x:v>
      </x:c>
      <x:c r="E1104" s="133" t="n">
        <x:v>30.5</x:v>
      </x:c>
      <x:c r="F1104" s="134" t="n">
        <x:v>3113</x:v>
      </x:c>
      <x:c r="G1104" s="134" t="n">
        <x:v>0</x:v>
      </x:c>
      <x:c r="H1104" s="134" t="n">
        <x:v>302</x:v>
      </x:c>
      <x:c r="I1104" s="134" t="n">
        <x:v>167</x:v>
      </x:c>
      <x:c r="J1104" s="133" t="n">
        <x:v>5.357459641653362</x:v>
      </x:c>
      <x:c r="K1104" s="133" t="n">
        <x:v>5.364600064246708</x:v>
      </x:c>
      <x:c r="L1104" s="133" t="n">
        <x:v>5.387523629489603</x:v>
      </x:c>
      <x:c r="M1104" s="133" t="n">
        <x:v>5.2631578947368425</x:v>
      </x:c>
      <x:c r="N1104" s="133" t="n">
        <x:v>5.2631578947368425</x:v>
      </x:c>
      <x:c r="O1104" s="133" t="n">
        <x:v>5.426356589147287</x:v>
      </x:c>
      <x:c r="P1104" s="132"/>
    </x:row>
    <x:row r="1105">
      <x:c r="A1105" s="136" t="str">
        <x:v>01097006403</x:v>
      </x:c>
      <x:c r="B1105" s="132" t="str">
        <x:v>Mobile County</x:v>
      </x:c>
      <x:c r="C1105" s="132" t="n">
        <x:v>1</x:v>
      </x:c>
      <x:c r="D1105" s="134" t="n">
        <x:v>1789</x:v>
      </x:c>
      <x:c r="E1105" s="133" t="n">
        <x:v>14.3</x:v>
      </x:c>
      <x:c r="F1105" s="134" t="n">
        <x:v>1196</x:v>
      </x:c>
      <x:c r="G1105" s="134" t="n">
        <x:v>0</x:v>
      </x:c>
      <x:c r="H1105" s="134" t="n">
        <x:v>249</x:v>
      </x:c>
      <x:c r="I1105" s="134" t="n">
        <x:v>167</x:v>
      </x:c>
      <x:c r="J1105" s="133" t="n">
        <x:v>13.918390162101733</x:v>
      </x:c>
      <x:c r="K1105" s="133" t="n">
        <x:v>13.963210702341136</x:v>
      </x:c>
      <x:c r="L1105" s="133" t="n">
        <x:v>13.846153846153847</x:v>
      </x:c>
      <x:c r="M1105" s="133" t="n">
        <x:v>13.91304347826087</x:v>
      </x:c>
      <x:c r="N1105" s="133" t="n">
        <x:v>25</x:v>
      </x:c>
      <x:c r="O1105" s="133" t="n">
        <x:v>14.285714285714286</x:v>
      </x:c>
      <x:c r="P1105" s="132"/>
    </x:row>
    <x:row r="1106">
      <x:c r="A1106" s="136" t="str">
        <x:v>01033020704</x:v>
      </x:c>
      <x:c r="B1106" s="132" t="str">
        <x:v>Colbert County</x:v>
      </x:c>
      <x:c r="C1106" s="132" t="n">
        <x:v>1</x:v>
      </x:c>
      <x:c r="D1106" s="134" t="n">
        <x:v>4727</x:v>
      </x:c>
      <x:c r="E1106" s="133" t="n">
        <x:v>7.9</x:v>
      </x:c>
      <x:c r="F1106" s="134" t="n">
        <x:v>2771</x:v>
      </x:c>
      <x:c r="G1106" s="134" t="n">
        <x:v>0</x:v>
      </x:c>
      <x:c r="H1106" s="134" t="n">
        <x:v>287</x:v>
      </x:c>
      <x:c r="I1106" s="134" t="n">
        <x:v>168</x:v>
      </x:c>
      <x:c r="J1106" s="133" t="n">
        <x:v>6.071504125237994</x:v>
      </x:c>
      <x:c r="K1106" s="133" t="n">
        <x:v>6.062793215445687</x:v>
      </x:c>
      <x:c r="L1106" s="133" t="n">
        <x:v>6.052141527001862</x:v>
      </x:c>
      <x:c r="M1106" s="133" t="n">
        <x:v>6.122448979591836</x:v>
      </x:c>
      <x:c r="N1106" s="133" t="n">
        <x:v>5.9880239520958085</x:v>
      </x:c>
      <x:c r="O1106" s="133" t="n">
        <x:v>5.882352941176471</x:v>
      </x:c>
      <x:c r="P1106" s="132"/>
    </x:row>
    <x:row r="1107">
      <x:c r="A1107" s="136" t="str">
        <x:v>01059973100</x:v>
      </x:c>
      <x:c r="B1107" s="132" t="str">
        <x:v>Franklin County</x:v>
      </x:c>
      <x:c r="C1107" s="132" t="n">
        <x:v>0</x:v>
      </x:c>
      <x:c r="D1107" s="134" t="n">
        <x:v>2499</x:v>
      </x:c>
      <x:c r="E1107" s="133" t="n">
        <x:v>3.1</x:v>
      </x:c>
      <x:c r="F1107" s="134" t="n">
        <x:v>1765</x:v>
      </x:c>
      <x:c r="G1107" s="134" t="n">
        <x:v>0</x:v>
      </x:c>
      <x:c r="H1107" s="134" t="n">
        <x:v>237</x:v>
      </x:c>
      <x:c r="I1107" s="134" t="n">
        <x:v>168</x:v>
      </x:c>
      <x:c r="J1107" s="133" t="n">
        <x:v>9.483793517406962</x:v>
      </x:c>
      <x:c r="K1107" s="133" t="n">
        <x:v>9.51841359773371</x:v>
      </x:c>
      <x:c r="L1107" s="133" t="n">
        <x:v>9.514925373134329</x:v>
      </x:c>
      <x:c r="M1107" s="133" t="n">
        <x:v>9.44206008583691</x:v>
      </x:c>
      <x:c r="N1107" s="133" t="n">
        <x:v>9.375</x:v>
      </x:c>
      <x:c r="O1107" s="133" t="n">
        <x:v>9.574468085106384</x:v>
      </x:c>
      <x:c r="P1107" s="132"/>
    </x:row>
    <x:row r="1108">
      <x:c r="A1108" s="136" t="str">
        <x:v>01067030600</x:v>
      </x:c>
      <x:c r="B1108" s="132" t="str">
        <x:v>Henry County</x:v>
      </x:c>
      <x:c r="C1108" s="132" t="n">
        <x:v>0</x:v>
      </x:c>
      <x:c r="D1108" s="134" t="n">
        <x:v>1519</x:v>
      </x:c>
      <x:c r="E1108" s="133" t="n">
        <x:v>15.8</x:v>
      </x:c>
      <x:c r="F1108" s="134" t="n">
        <x:v>1123</x:v>
      </x:c>
      <x:c r="G1108" s="134" t="n">
        <x:v>0</x:v>
      </x:c>
      <x:c r="H1108" s="134" t="n">
        <x:v>227</x:v>
      </x:c>
      <x:c r="I1108" s="134" t="n">
        <x:v>168</x:v>
      </x:c>
      <x:c r="J1108" s="133" t="n">
        <x:v>14.944042132982226</x:v>
      </x:c>
      <x:c r="K1108" s="133" t="n">
        <x:v>14.959928762243988</x:v>
      </x:c>
      <x:c r="L1108" s="133" t="n">
        <x:v>14.953271028037383</x:v>
      </x:c>
      <x:c r="M1108" s="133" t="n">
        <x:v>14.912280701754385</x:v>
      </x:c>
      <x:c r="N1108" s="133" t="n">
        <x:v>16.666666666666668</x:v>
      </x:c>
      <x:c r="O1108" s="133" t="n">
        <x:v>15.151515151515152</x:v>
      </x:c>
      <x:c r="P1108" s="132"/>
    </x:row>
    <x:row r="1109">
      <x:c r="A1109" s="136" t="str">
        <x:v>01069041400</x:v>
      </x:c>
      <x:c r="B1109" s="132" t="str">
        <x:v>Houston County</x:v>
      </x:c>
      <x:c r="C1109" s="132" t="n">
        <x:v>1</x:v>
      </x:c>
      <x:c r="D1109" s="134" t="n">
        <x:v>3311</x:v>
      </x:c>
      <x:c r="E1109" s="133" t="n">
        <x:v>38.1</x:v>
      </x:c>
      <x:c r="F1109" s="134" t="n">
        <x:v>1129</x:v>
      </x:c>
      <x:c r="G1109" s="134" t="n">
        <x:v>0</x:v>
      </x:c>
      <x:c r="H1109" s="134" t="n">
        <x:v>492</x:v>
      </x:c>
      <x:c r="I1109" s="134" t="n">
        <x:v>168</x:v>
      </x:c>
      <x:c r="J1109" s="133" t="n">
        <x:v>14.859559045605558</x:v>
      </x:c>
      <x:c r="K1109" s="133" t="n">
        <x:v>14.88042515500443</x:v>
      </x:c>
      <x:c r="L1109" s="133" t="n">
        <x:v>14.819277108433734</x:v>
      </x:c>
      <x:c r="M1109" s="133" t="n">
        <x:v>14.922813036020584</x:v>
      </x:c>
      <x:c r="N1109" s="133" t="n">
        <x:v>14.765100671140939</x:v>
      </x:c>
      <x:c r="O1109" s="133" t="n">
        <x:v>14.889705882352942</x:v>
      </x:c>
      <x:c r="P1109" s="132"/>
    </x:row>
    <x:row r="1110">
      <x:c r="A1110" s="136" t="str">
        <x:v>01055010201</x:v>
      </x:c>
      <x:c r="B1110" s="132" t="str">
        <x:v>Etowah County</x:v>
      </x:c>
      <x:c r="C1110" s="132" t="n">
        <x:v>1</x:v>
      </x:c>
      <x:c r="D1110" s="134" t="n">
        <x:v>2702</x:v>
      </x:c>
      <x:c r="E1110" s="133" t="n">
        <x:v>17</x:v>
      </x:c>
      <x:c r="F1110" s="134" t="n">
        <x:v>1367</x:v>
      </x:c>
      <x:c r="G1110" s="134" t="n">
        <x:v>0</x:v>
      </x:c>
      <x:c r="H1110" s="134" t="n">
        <x:v>333</x:v>
      </x:c>
      <x:c r="I1110" s="134" t="n">
        <x:v>169</x:v>
      </x:c>
      <x:c r="J1110" s="133" t="n">
        <x:v>12.32420429311621</x:v>
      </x:c>
      <x:c r="K1110" s="133" t="n">
        <x:v>12.36283833211412</x:v>
      </x:c>
      <x:c r="L1110" s="133" t="n">
        <x:v>12.351190476190476</x:v>
      </x:c>
      <x:c r="M1110" s="133" t="n">
        <x:v>12.362030905077262</x:v>
      </x:c>
      <x:c r="N1110" s="133" t="n">
        <x:v>12.820512820512821</x:v>
      </x:c>
      <x:c r="O1110" s="133" t="n">
        <x:v>12.698412698412698</x:v>
      </x:c>
      <x:c r="P1110" s="132"/>
    </x:row>
    <x:row r="1111">
      <x:c r="A1111" s="136" t="str">
        <x:v>01107050401</x:v>
      </x:c>
      <x:c r="B1111" s="132" t="str">
        <x:v>Pickens County</x:v>
      </x:c>
      <x:c r="C1111" s="132" t="n">
        <x:v>0</x:v>
      </x:c>
      <x:c r="D1111" s="134" t="n">
        <x:v>2007</x:v>
      </x:c>
      <x:c r="E1111" s="133" t="n">
        <x:v>29.1</x:v>
      </x:c>
      <x:c r="F1111" s="134" t="n">
        <x:v>831</x:v>
      </x:c>
      <x:c r="G1111" s="134" t="n">
        <x:v>0</x:v>
      </x:c>
      <x:c r="H1111" s="134" t="n">
        <x:v>409</x:v>
      </x:c>
      <x:c r="I1111" s="134" t="n">
        <x:v>169</x:v>
      </x:c>
      <x:c r="J1111" s="133" t="n">
        <x:v>20.378674638764323</x:v>
      </x:c>
      <x:c r="K1111" s="133" t="n">
        <x:v>20.33694344163658</x:v>
      </x:c>
      <x:c r="L1111" s="133" t="n">
        <x:v>20.40358744394619</x:v>
      </x:c>
      <x:c r="M1111" s="133" t="n">
        <x:v>20.33492822966507</x:v>
      </x:c>
      <x:c r="N1111" s="133" t="n">
        <x:v>20</x:v>
      </x:c>
      <x:c r="O1111" s="133" t="n">
        <x:v>20.27972027972028</x:v>
      </x:c>
      <x:c r="P1111" s="132"/>
    </x:row>
    <x:row r="1112">
      <x:c r="A1112" s="136" t="str">
        <x:v>01123962400</x:v>
      </x:c>
      <x:c r="B1112" s="132" t="str">
        <x:v>Tallapoosa County</x:v>
      </x:c>
      <x:c r="C1112" s="132" t="n">
        <x:v>0</x:v>
      </x:c>
      <x:c r="D1112" s="134" t="n">
        <x:v>4620</x:v>
      </x:c>
      <x:c r="E1112" s="133" t="n">
        <x:v>10.8</x:v>
      </x:c>
      <x:c r="F1112" s="134" t="n">
        <x:v>2962</x:v>
      </x:c>
      <x:c r="G1112" s="134" t="n">
        <x:v>0</x:v>
      </x:c>
      <x:c r="H1112" s="134" t="n">
        <x:v>266</x:v>
      </x:c>
      <x:c r="I1112" s="134" t="n">
        <x:v>171</x:v>
      </x:c>
      <x:c r="J1112" s="133" t="n">
        <x:v>5.757575757575758</x:v>
      </x:c>
      <x:c r="K1112" s="133" t="n">
        <x:v>5.773126266036462</x:v>
      </x:c>
      <x:c r="L1112" s="133" t="n">
        <x:v>5.738575982996812</x:v>
      </x:c>
      <x:c r="M1112" s="133" t="n">
        <x:v>5.735140771637122</x:v>
      </x:c>
      <x:c r="N1112" s="133" t="n">
        <x:v>5.4945054945054945</x:v>
      </x:c>
      <x:c r="O1112" s="133" t="n">
        <x:v>5.687203791469194</x:v>
      </x:c>
      <x:c r="P1112" s="132"/>
    </x:row>
    <x:row r="1113">
      <x:c r="A1113" s="136" t="str">
        <x:v>01047956702</x:v>
      </x:c>
      <x:c r="B1113" s="132" t="str">
        <x:v>Dallas County</x:v>
      </x:c>
      <x:c r="C1113" s="132" t="n">
        <x:v>1</x:v>
      </x:c>
      <x:c r="D1113" s="134" t="n">
        <x:v>1471</x:v>
      </x:c>
      <x:c r="E1113" s="133" t="n">
        <x:v>30.3</x:v>
      </x:c>
      <x:c r="F1113" s="134" t="n">
        <x:v>917</x:v>
      </x:c>
      <x:c r="G1113" s="134" t="n">
        <x:v>0</x:v>
      </x:c>
      <x:c r="H1113" s="134" t="n">
        <x:v>282</x:v>
      </x:c>
      <x:c r="I1113" s="134" t="n">
        <x:v>176</x:v>
      </x:c>
      <x:c r="J1113" s="133" t="n">
        <x:v>19.170632222977567</x:v>
      </x:c>
      <x:c r="K1113" s="133" t="n">
        <x:v>19.19302071973828</x:v>
      </x:c>
      <x:c r="L1113" s="133" t="n">
        <x:v>19.047619047619047</x:v>
      </x:c>
      <x:c r="M1113" s="133" t="n">
        <x:v>19.318181818181817</x:v>
      </x:c>
      <x:c r="N1113" s="133" t="n">
        <x:v>16.666666666666668</x:v>
      </x:c>
      <x:c r="O1113" s="133" t="n">
        <x:v>19.41747572815534</x:v>
      </x:c>
      <x:c r="P1113" s="132"/>
    </x:row>
    <x:row r="1114">
      <x:c r="A1114" s="136" t="str">
        <x:v>01133965601</x:v>
      </x:c>
      <x:c r="B1114" s="132" t="str">
        <x:v>Winston County</x:v>
      </x:c>
      <x:c r="C1114" s="132" t="n">
        <x:v>0</x:v>
      </x:c>
      <x:c r="D1114" s="134" t="n">
        <x:v>2077</x:v>
      </x:c>
      <x:c r="E1114" s="133" t="n">
        <x:v>25.3</x:v>
      </x:c>
      <x:c r="F1114" s="134" t="n">
        <x:v>1218</x:v>
      </x:c>
      <x:c r="G1114" s="134" t="n">
        <x:v>0</x:v>
      </x:c>
      <x:c r="H1114" s="134" t="n">
        <x:v>303</x:v>
      </x:c>
      <x:c r="I1114" s="134" t="n">
        <x:v>178</x:v>
      </x:c>
      <x:c r="J1114" s="133" t="n">
        <x:v>14.588348579682235</x:v>
      </x:c>
      <x:c r="K1114" s="133" t="n">
        <x:v>14.614121510673234</x:v>
      </x:c>
      <x:c r="L1114" s="133" t="n">
        <x:v>14.57286432160804</x:v>
      </x:c>
      <x:c r="M1114" s="133" t="n">
        <x:v>14.587737843551798</x:v>
      </x:c>
      <x:c r="N1114" s="133" t="n">
        <x:v>13.793103448275861</x:v>
      </x:c>
      <x:c r="O1114" s="133" t="n">
        <x:v>14.423076923076923</x:v>
      </x:c>
      <x:c r="P1114" s="132"/>
    </x:row>
    <x:row r="1115">
      <x:c r="A1115" s="136" t="str">
        <x:v>01031011300</x:v>
      </x:c>
      <x:c r="B1115" s="132" t="str">
        <x:v>Coffee County</x:v>
      </x:c>
      <x:c r="C1115" s="132" t="n">
        <x:v>1</x:v>
      </x:c>
      <x:c r="D1115" s="134" t="n">
        <x:v>4632</x:v>
      </x:c>
      <x:c r="E1115" s="133" t="n">
        <x:v>24.9</x:v>
      </x:c>
      <x:c r="F1115" s="134" t="n">
        <x:v>1858</x:v>
      </x:c>
      <x:c r="G1115" s="134" t="n">
        <x:v>0</x:v>
      </x:c>
      <x:c r="H1115" s="134" t="n">
        <x:v>445</x:v>
      </x:c>
      <x:c r="I1115" s="134" t="n">
        <x:v>179</x:v>
      </x:c>
      <x:c r="J1115" s="133" t="n">
        <x:v>9.607081174438687</x:v>
      </x:c>
      <x:c r="K1115" s="133" t="n">
        <x:v>9.634015069967708</x:v>
      </x:c>
      <x:c r="L1115" s="133" t="n">
        <x:v>9.641434262948207</x:v>
      </x:c>
      <x:c r="M1115" s="133" t="n">
        <x:v>9.584295612009237</x:v>
      </x:c>
      <x:c r="N1115" s="133" t="n">
        <x:v>9.743589743589743</x:v>
      </x:c>
      <x:c r="O1115" s="133" t="n">
        <x:v>9.571788413098236</x:v>
      </x:c>
      <x:c r="P1115" s="132"/>
    </x:row>
    <x:row r="1116">
      <x:c r="A1116" s="136" t="str">
        <x:v>01129044100</x:v>
      </x:c>
      <x:c r="B1116" s="132" t="str">
        <x:v>Washington County</x:v>
      </x:c>
      <x:c r="C1116" s="132" t="n">
        <x:v>0</x:v>
      </x:c>
      <x:c r="D1116" s="134" t="n">
        <x:v>3036</x:v>
      </x:c>
      <x:c r="E1116" s="133" t="n">
        <x:v>14.4</x:v>
      </x:c>
      <x:c r="F1116" s="134" t="n">
        <x:v>1549</x:v>
      </x:c>
      <x:c r="G1116" s="134" t="n">
        <x:v>0</x:v>
      </x:c>
      <x:c r="H1116" s="134" t="n">
        <x:v>351</x:v>
      </x:c>
      <x:c r="I1116" s="134" t="n">
        <x:v>179</x:v>
      </x:c>
      <x:c r="J1116" s="133" t="n">
        <x:v>11.561264822134387</x:v>
      </x:c>
      <x:c r="K1116" s="133" t="n">
        <x:v>11.555842479018722</x:v>
      </x:c>
      <x:c r="L1116" s="133" t="n">
        <x:v>11.532385466034755</x:v>
      </x:c>
      <x:c r="M1116" s="133" t="n">
        <x:v>11.52694610778443</x:v>
      </x:c>
      <x:c r="N1116" s="133" t="n">
        <x:v>14.285714285714286</x:v>
      </x:c>
      <x:c r="O1116" s="133" t="n">
        <x:v>11.570247933884298</x:v>
      </x:c>
      <x:c r="P1116" s="132"/>
    </x:row>
    <x:row r="1117">
      <x:c r="A1117" s="136" t="str">
        <x:v>01047957301</x:v>
      </x:c>
      <x:c r="B1117" s="132" t="str">
        <x:v>Dallas County</x:v>
      </x:c>
      <x:c r="C1117" s="132" t="n">
        <x:v>1</x:v>
      </x:c>
      <x:c r="D1117" s="134" t="n">
        <x:v>2284</x:v>
      </x:c>
      <x:c r="E1117" s="133" t="n">
        <x:v>39</x:v>
      </x:c>
      <x:c r="F1117" s="134" t="n">
        <x:v>847</x:v>
      </x:c>
      <x:c r="G1117" s="134" t="n">
        <x:v>0</x:v>
      </x:c>
      <x:c r="H1117" s="134" t="n">
        <x:v>484</x:v>
      </x:c>
      <x:c r="I1117" s="134" t="n">
        <x:v>180</x:v>
      </x:c>
      <x:c r="J1117" s="133" t="n">
        <x:v>21.19089316987741</x:v>
      </x:c>
      <x:c r="K1117" s="133" t="n">
        <x:v>21.251475796930343</x:v>
      </x:c>
      <x:c r="L1117" s="133" t="n">
        <x:v>21.237458193979933</x:v>
      </x:c>
      <x:c r="M1117" s="133" t="n">
        <x:v>21.241830065359476</x:v>
      </x:c>
      <x:c r="N1117" s="133" t="n">
        <x:v>21.518987341772153</x:v>
      </x:c>
      <x:c r="O1117" s="133" t="n">
        <x:v>21.166306695464364</x:v>
      </x:c>
      <x:c r="P1117" s="132"/>
    </x:row>
    <x:row r="1118">
      <x:c r="A1118" s="136" t="str">
        <x:v>01113031200</x:v>
      </x:c>
      <x:c r="B1118" s="132" t="str">
        <x:v>Russell County</x:v>
      </x:c>
      <x:c r="C1118" s="132" t="n">
        <x:v>0</x:v>
      </x:c>
      <x:c r="D1118" s="134" t="n">
        <x:v>3866</x:v>
      </x:c>
      <x:c r="E1118" s="133" t="n">
        <x:v>7.2</x:v>
      </x:c>
      <x:c r="F1118" s="134" t="n">
        <x:v>2385</x:v>
      </x:c>
      <x:c r="G1118" s="134" t="n">
        <x:v>0</x:v>
      </x:c>
      <x:c r="H1118" s="134" t="n">
        <x:v>291</x:v>
      </x:c>
      <x:c r="I1118" s="134" t="n">
        <x:v>180</x:v>
      </x:c>
      <x:c r="J1118" s="133" t="n">
        <x:v>7.527159855147439</x:v>
      </x:c>
      <x:c r="K1118" s="133" t="n">
        <x:v>7.547169811320755</x:v>
      </x:c>
      <x:c r="L1118" s="133" t="n">
        <x:v>7.519788918205805</x:v>
      </x:c>
      <x:c r="M1118" s="133" t="n">
        <x:v>7.515923566878981</x:v>
      </x:c>
      <x:c r="N1118" s="133" t="n">
        <x:v>7.563025210084033</x:v>
      </x:c>
      <x:c r="O1118" s="133" t="n">
        <x:v>7.558139534883721</x:v>
      </x:c>
      <x:c r="P1118" s="132"/>
    </x:row>
    <x:row r="1119">
      <x:c r="A1119" s="136" t="str">
        <x:v>01025957901</x:v>
      </x:c>
      <x:c r="B1119" s="132" t="str">
        <x:v>Clarke County</x:v>
      </x:c>
      <x:c r="C1119" s="132" t="n">
        <x:v>0</x:v>
      </x:c>
      <x:c r="D1119" s="134" t="n">
        <x:v>3274</x:v>
      </x:c>
      <x:c r="E1119" s="133" t="n">
        <x:v>22.1</x:v>
      </x:c>
      <x:c r="F1119" s="134" t="n">
        <x:v>2127</x:v>
      </x:c>
      <x:c r="G1119" s="134" t="n">
        <x:v>0</x:v>
      </x:c>
      <x:c r="H1119" s="134" t="n">
        <x:v>279</x:v>
      </x:c>
      <x:c r="I1119" s="134" t="n">
        <x:v>181</x:v>
      </x:c>
      <x:c r="J1119" s="133" t="n">
        <x:v>8.521686010995724</x:v>
      </x:c>
      <x:c r="K1119" s="133" t="n">
        <x:v>8.50963798777621</x:v>
      </x:c>
      <x:c r="L1119" s="133" t="n">
        <x:v>8.472012102874432</x:v>
      </x:c>
      <x:c r="M1119" s="133" t="n">
        <x:v>8.460471567267684</x:v>
      </x:c>
      <x:c r="N1119" s="133" t="n">
        <x:v>8.67579908675799</x:v>
      </x:c>
      <x:c r="O1119" s="133" t="n">
        <x:v>8.666666666666666</x:v>
      </x:c>
      <x:c r="P1119" s="132"/>
    </x:row>
    <x:row r="1120">
      <x:c r="A1120" s="136" t="str">
        <x:v>01003010100</x:v>
      </x:c>
      <x:c r="B1120" s="132" t="str">
        <x:v>Baldwin County</x:v>
      </x:c>
      <x:c r="C1120" s="132" t="n">
        <x:v>0</x:v>
      </x:c>
      <x:c r="D1120" s="134" t="n">
        <x:v>3745</x:v>
      </x:c>
      <x:c r="E1120" s="133" t="n">
        <x:v>18</x:v>
      </x:c>
      <x:c r="F1120" s="134" t="n">
        <x:v>2391</x:v>
      </x:c>
      <x:c r="G1120" s="134" t="n">
        <x:v>0</x:v>
      </x:c>
      <x:c r="H1120" s="134" t="n">
        <x:v>286</x:v>
      </x:c>
      <x:c r="I1120" s="134" t="n">
        <x:v>182</x:v>
      </x:c>
      <x:c r="J1120" s="133" t="n">
        <x:v>7.636849132176235</x:v>
      </x:c>
      <x:c r="K1120" s="133" t="n">
        <x:v>7.6118778753659555</x:v>
      </x:c>
      <x:c r="L1120" s="133" t="n">
        <x:v>7.559681697612732</x:v>
      </x:c>
      <x:c r="M1120" s="133" t="n">
        <x:v>7.566938300349244</x:v>
      </x:c>
      <x:c r="N1120" s="133" t="n">
        <x:v>7.317073170731708</x:v>
      </x:c>
      <x:c r="O1120" s="133" t="n">
        <x:v>7.5</x:v>
      </x:c>
      <x:c r="P1120" s="132"/>
    </x:row>
    <x:row r="1121">
      <x:c r="A1121" s="136" t="str">
        <x:v>01083020700</x:v>
      </x:c>
      <x:c r="B1121" s="132" t="str">
        <x:v>Limestone County</x:v>
      </x:c>
      <x:c r="C1121" s="132" t="n">
        <x:v>1</x:v>
      </x:c>
      <x:c r="D1121" s="134" t="n">
        <x:v>2582</x:v>
      </x:c>
      <x:c r="E1121" s="133" t="n">
        <x:v>30.8</x:v>
      </x:c>
      <x:c r="F1121" s="134" t="n">
        <x:v>1329</x:v>
      </x:c>
      <x:c r="G1121" s="134" t="n">
        <x:v>0</x:v>
      </x:c>
      <x:c r="H1121" s="134" t="n">
        <x:v>353</x:v>
      </x:c>
      <x:c r="I1121" s="134" t="n">
        <x:v>182</x:v>
      </x:c>
      <x:c r="J1121" s="133" t="n">
        <x:v>13.67157242447715</x:v>
      </x:c>
      <x:c r="K1121" s="133" t="n">
        <x:v>13.694507148231754</x:v>
      </x:c>
      <x:c r="L1121" s="133" t="n">
        <x:v>13.673805601317957</x:v>
      </x:c>
      <x:c r="M1121" s="133" t="n">
        <x:v>13.770491803278688</x:v>
      </x:c>
      <x:c r="N1121" s="133" t="n">
        <x:v>13.537117903930131</x:v>
      </x:c>
      <x:c r="O1121" s="133" t="n">
        <x:v>13.687150837988828</x:v>
      </x:c>
      <x:c r="P1121" s="132"/>
    </x:row>
    <x:row r="1122">
      <x:c r="A1122" s="136" t="str">
        <x:v>01097003606</x:v>
      </x:c>
      <x:c r="B1122" s="132" t="str">
        <x:v>Mobile County</x:v>
      </x:c>
      <x:c r="C1122" s="132" t="n">
        <x:v>1</x:v>
      </x:c>
      <x:c r="D1122" s="134" t="n">
        <x:v>3907</x:v>
      </x:c>
      <x:c r="E1122" s="133" t="n">
        <x:v>29.9</x:v>
      </x:c>
      <x:c r="F1122" s="134" t="n">
        <x:v>1959</x:v>
      </x:c>
      <x:c r="G1122" s="134" t="n">
        <x:v>0</x:v>
      </x:c>
      <x:c r="H1122" s="134" t="n">
        <x:v>367</x:v>
      </x:c>
      <x:c r="I1122" s="134" t="n">
        <x:v>184</x:v>
      </x:c>
      <x:c r="J1122" s="133" t="n">
        <x:v>9.393396467878167</x:v>
      </x:c>
      <x:c r="K1122" s="133" t="n">
        <x:v>9.392547217968351</x:v>
      </x:c>
      <x:c r="L1122" s="133" t="n">
        <x:v>9.44</x:v>
      </x:c>
      <x:c r="M1122" s="133" t="n">
        <x:v>9.34959349593496</x:v>
      </x:c>
      <x:c r="N1122" s="133" t="n">
        <x:v>9.361702127659575</x:v>
      </x:c>
      <x:c r="O1122" s="133" t="n">
        <x:v>9.649122807017545</x:v>
      </x:c>
      <x:c r="P1122" s="132"/>
    </x:row>
    <x:row r="1123">
      <x:c r="A1123" s="136" t="str">
        <x:v>01047957200</x:v>
      </x:c>
      <x:c r="B1123" s="132" t="str">
        <x:v>Dallas County</x:v>
      </x:c>
      <x:c r="C1123" s="132" t="n">
        <x:v>1</x:v>
      </x:c>
      <x:c r="D1123" s="134" t="n">
        <x:v>1592</x:v>
      </x:c>
      <x:c r="E1123" s="133" t="n">
        <x:v>16.1</x:v>
      </x:c>
      <x:c r="F1123" s="134" t="n">
        <x:v>784</x:v>
      </x:c>
      <x:c r="G1123" s="134" t="n">
        <x:v>0</x:v>
      </x:c>
      <x:c r="H1123" s="134" t="n">
        <x:v>375</x:v>
      </x:c>
      <x:c r="I1123" s="134" t="n">
        <x:v>185</x:v>
      </x:c>
      <x:c r="J1123" s="133" t="n">
        <x:v>23.555276381909547</x:v>
      </x:c>
      <x:c r="K1123" s="133" t="n">
        <x:v>23.596938775510203</x:v>
      </x:c>
      <x:c r="L1123" s="133" t="n">
        <x:v>23.529411764705884</x:v>
      </x:c>
      <x:c r="M1123" s="133" t="n">
        <x:v>23.49397590361446</x:v>
      </x:c>
      <x:c r="N1123" s="133" t="n">
        <x:v>24.324324324324323</x:v>
      </x:c>
      <x:c r="O1123" s="133" t="n">
        <x:v>23.50597609561753</x:v>
      </x:c>
      <x:c r="P1123" s="132"/>
    </x:row>
    <x:row r="1124">
      <x:c r="A1124" s="136" t="str">
        <x:v>01069040302</x:v>
      </x:c>
      <x:c r="B1124" s="132" t="str">
        <x:v>Houston County</x:v>
      </x:c>
      <x:c r="C1124" s="132" t="n">
        <x:v>1</x:v>
      </x:c>
      <x:c r="D1124" s="134" t="n">
        <x:v>3916</x:v>
      </x:c>
      <x:c r="E1124" s="133" t="n">
        <x:v>26.1</x:v>
      </x:c>
      <x:c r="F1124" s="134" t="n">
        <x:v>1902</x:v>
      </x:c>
      <x:c r="G1124" s="134" t="n">
        <x:v>0</x:v>
      </x:c>
      <x:c r="H1124" s="134" t="n">
        <x:v>381</x:v>
      </x:c>
      <x:c r="I1124" s="134" t="n">
        <x:v>185</x:v>
      </x:c>
      <x:c r="J1124" s="133" t="n">
        <x:v>9.729315628192033</x:v>
      </x:c>
      <x:c r="K1124" s="133" t="n">
        <x:v>9.726603575184017</x:v>
      </x:c>
      <x:c r="L1124" s="133" t="n">
        <x:v>9.70873786407767</x:v>
      </x:c>
      <x:c r="M1124" s="133" t="n">
        <x:v>9.803921568627452</x:v>
      </x:c>
      <x:c r="N1124" s="133" t="n">
        <x:v>10.091743119266056</x:v>
      </x:c>
      <x:c r="O1124" s="133" t="n">
        <x:v>9.698996655518394</x:v>
      </x:c>
      <x:c r="P1124" s="132"/>
    </x:row>
    <x:row r="1125">
      <x:c r="A1125" s="136" t="str">
        <x:v>01107050402</x:v>
      </x:c>
      <x:c r="B1125" s="132" t="str">
        <x:v>Pickens County</x:v>
      </x:c>
      <x:c r="C1125" s="132" t="n">
        <x:v>0</x:v>
      </x:c>
      <x:c r="D1125" s="134" t="n">
        <x:v>2783</x:v>
      </x:c>
      <x:c r="E1125" s="133" t="n">
        <x:v>13</x:v>
      </x:c>
      <x:c r="F1125" s="134" t="n">
        <x:v>1657</x:v>
      </x:c>
      <x:c r="G1125" s="134" t="n">
        <x:v>0</x:v>
      </x:c>
      <x:c r="H1125" s="134" t="n">
        <x:v>312</x:v>
      </x:c>
      <x:c r="I1125" s="134" t="n">
        <x:v>186</x:v>
      </x:c>
      <x:c r="J1125" s="133" t="n">
        <x:v>11.210923463887891</x:v>
      </x:c>
      <x:c r="K1125" s="133" t="n">
        <x:v>11.225105612552806</x:v>
      </x:c>
      <x:c r="L1125" s="133" t="n">
        <x:v>11.2</x:v>
      </x:c>
      <x:c r="M1125" s="133" t="n">
        <x:v>11.149825783972126</x:v>
      </x:c>
      <x:c r="N1125" s="133" t="n">
        <x:v>11.688311688311689</x:v>
      </x:c>
      <x:c r="O1125" s="133" t="n">
        <x:v>11.052631578947368</x:v>
      </x:c>
      <x:c r="P1125" s="132"/>
    </x:row>
    <x:row r="1126">
      <x:c r="A1126" s="136" t="str">
        <x:v>01103000300</x:v>
      </x:c>
      <x:c r="B1126" s="132" t="str">
        <x:v>Morgan County</x:v>
      </x:c>
      <x:c r="C1126" s="132" t="n">
        <x:v>1</x:v>
      </x:c>
      <x:c r="D1126" s="134" t="n">
        <x:v>2910</x:v>
      </x:c>
      <x:c r="E1126" s="133" t="n">
        <x:v>11.5</x:v>
      </x:c>
      <x:c r="F1126" s="134" t="n">
        <x:v>2008</x:v>
      </x:c>
      <x:c r="G1126" s="134" t="n">
        <x:v>0</x:v>
      </x:c>
      <x:c r="H1126" s="134" t="n">
        <x:v>272</x:v>
      </x:c>
      <x:c r="I1126" s="134" t="n">
        <x:v>188</x:v>
      </x:c>
      <x:c r="J1126" s="133" t="n">
        <x:v>9.347079037800688</x:v>
      </x:c>
      <x:c r="K1126" s="133" t="n">
        <x:v>9.362549800796813</x:v>
      </x:c>
      <x:c r="L1126" s="133" t="n">
        <x:v>9.408194233687405</x:v>
      </x:c>
      <x:c r="M1126" s="133" t="n">
        <x:v>9.320388349514563</x:v>
      </x:c>
      <x:c r="N1126" s="133" t="n">
        <x:v>9.090909090909092</x:v>
      </x:c>
      <x:c r="O1126" s="133" t="n">
        <x:v>9.387755102040817</x:v>
      </x:c>
      <x:c r="P1126" s="132"/>
    </x:row>
    <x:row r="1127">
      <x:c r="A1127" s="136" t="str">
        <x:v>01081040403</x:v>
      </x:c>
      <x:c r="B1127" s="132" t="str">
        <x:v>Lee County</x:v>
      </x:c>
      <x:c r="C1127" s="132" t="n">
        <x:v>1</x:v>
      </x:c>
      <x:c r="D1127" s="134" t="n">
        <x:v>1965</x:v>
      </x:c>
      <x:c r="E1127" s="133" t="n">
        <x:v>20.6</x:v>
      </x:c>
      <x:c r="F1127" s="134" t="n">
        <x:v>1307</x:v>
      </x:c>
      <x:c r="G1127" s="134" t="n">
        <x:v>0</x:v>
      </x:c>
      <x:c r="H1127" s="134" t="n">
        <x:v>291</x:v>
      </x:c>
      <x:c r="I1127" s="134" t="n">
        <x:v>193</x:v>
      </x:c>
      <x:c r="J1127" s="133" t="n">
        <x:v>14.80916030534351</x:v>
      </x:c>
      <x:c r="K1127" s="133" t="n">
        <x:v>14.76664116296863</x:v>
      </x:c>
      <x:c r="L1127" s="133" t="n">
        <x:v>14.713896457765667</x:v>
      </x:c>
      <x:c r="M1127" s="133" t="n">
        <x:v>14.666666666666666</x:v>
      </x:c>
      <x:c r="N1127" s="133"/>
      <x:c r="O1127" s="133" t="n">
        <x:v>20</x:v>
      </x:c>
      <x:c r="P1127" s="132"/>
    </x:row>
    <x:row r="1128">
      <x:c r="A1128" s="136" t="str">
        <x:v>01089010627</x:v>
      </x:c>
      <x:c r="B1128" s="132" t="str">
        <x:v>Madison County</x:v>
      </x:c>
      <x:c r="C1128" s="132" t="n">
        <x:v>1</x:v>
      </x:c>
      <x:c r="D1128" s="134" t="n">
        <x:v>4502</x:v>
      </x:c>
      <x:c r="E1128" s="133" t="n">
        <x:v>9.9</x:v>
      </x:c>
      <x:c r="F1128" s="134" t="n">
        <x:v>4166</x:v>
      </x:c>
      <x:c r="G1128" s="134" t="n">
        <x:v>0</x:v>
      </x:c>
      <x:c r="H1128" s="134" t="n">
        <x:v>210</x:v>
      </x:c>
      <x:c r="I1128" s="134" t="n">
        <x:v>194</x:v>
      </x:c>
      <x:c r="J1128" s="133" t="n">
        <x:v>4.664593513993781</x:v>
      </x:c>
      <x:c r="K1128" s="133" t="n">
        <x:v>4.656745079212674</x:v>
      </x:c>
      <x:c r="L1128" s="133" t="n">
        <x:v>4.713114754098361</x:v>
      </x:c>
      <x:c r="M1128" s="133" t="n">
        <x:v>4.716981132075472</x:v>
      </x:c>
      <x:c r="N1128" s="133" t="n">
        <x:v>4.433497536945813</x:v>
      </x:c>
      <x:c r="O1128" s="133" t="n">
        <x:v>4.9504950495049505</x:v>
      </x:c>
      <x:c r="P1128" s="132"/>
    </x:row>
    <x:row r="1129">
      <x:c r="A1129" s="136" t="str">
        <x:v>01097003703</x:v>
      </x:c>
      <x:c r="B1129" s="132" t="str">
        <x:v>Mobile County</x:v>
      </x:c>
      <x:c r="C1129" s="132" t="n">
        <x:v>1</x:v>
      </x:c>
      <x:c r="D1129" s="134" t="n">
        <x:v>3894</x:v>
      </x:c>
      <x:c r="E1129" s="133" t="n">
        <x:v>11.6</x:v>
      </x:c>
      <x:c r="F1129" s="134" t="n">
        <x:v>1918</x:v>
      </x:c>
      <x:c r="G1129" s="134" t="n">
        <x:v>0</x:v>
      </x:c>
      <x:c r="H1129" s="134" t="n">
        <x:v>396</x:v>
      </x:c>
      <x:c r="I1129" s="134" t="n">
        <x:v>195</x:v>
      </x:c>
      <x:c r="J1129" s="133" t="n">
        <x:v>10.169491525423728</x:v>
      </x:c>
      <x:c r="K1129" s="133" t="n">
        <x:v>10.166840458811262</x:v>
      </x:c>
      <x:c r="L1129" s="133" t="n">
        <x:v>10.178117048346056</x:v>
      </x:c>
      <x:c r="M1129" s="133" t="n">
        <x:v>10.139416983523448</x:v>
      </x:c>
      <x:c r="N1129" s="133" t="n">
        <x:v>10.119047619047619</x:v>
      </x:c>
      <x:c r="O1129" s="133" t="n">
        <x:v>10.079575596816976</x:v>
      </x:c>
      <x:c r="P1129" s="132"/>
    </x:row>
    <x:row r="1130">
      <x:c r="A1130" s="136" t="str">
        <x:v>01001020200</x:v>
      </x:c>
      <x:c r="B1130" s="132" t="str">
        <x:v>Autauga County</x:v>
      </x:c>
      <x:c r="C1130" s="132" t="n">
        <x:v>1</x:v>
      </x:c>
      <x:c r="D1130" s="134" t="n">
        <x:v>2055</x:v>
      </x:c>
      <x:c r="E1130" s="133" t="n">
        <x:v>9.5</x:v>
      </x:c>
      <x:c r="F1130" s="134" t="n">
        <x:v>1148</x:v>
      </x:c>
      <x:c r="G1130" s="134" t="n">
        <x:v>0</x:v>
      </x:c>
      <x:c r="H1130" s="134" t="n">
        <x:v>355</x:v>
      </x:c>
      <x:c r="I1130" s="134" t="n">
        <x:v>198</x:v>
      </x:c>
      <x:c r="J1130" s="133" t="n">
        <x:v>17.27493917274939</x:v>
      </x:c>
      <x:c r="K1130" s="133" t="n">
        <x:v>17.247386759581882</x:v>
      </x:c>
      <x:c r="L1130" s="133" t="n">
        <x:v>17.197452229299362</x:v>
      </x:c>
      <x:c r="M1130" s="133" t="n">
        <x:v>17.40506329113924</x:v>
      </x:c>
      <x:c r="N1130" s="133" t="n">
        <x:v>17.857142857142858</x:v>
      </x:c>
      <x:c r="O1130" s="133" t="n">
        <x:v>17.482517482517483</x:v>
      </x:c>
      <x:c r="P1130" s="132"/>
    </x:row>
    <x:row r="1131">
      <x:c r="A1131" s="136" t="str">
        <x:v>01117030341</x:v>
      </x:c>
      <x:c r="B1131" s="132" t="str">
        <x:v>Shelby County</x:v>
      </x:c>
      <x:c r="C1131" s="132" t="n">
        <x:v>1</x:v>
      </x:c>
      <x:c r="D1131" s="134" t="n">
        <x:v>2484</x:v>
      </x:c>
      <x:c r="E1131" s="133" t="n">
        <x:v>9.4</x:v>
      </x:c>
      <x:c r="F1131" s="134" t="n">
        <x:v>1759</x:v>
      </x:c>
      <x:c r="G1131" s="134" t="n">
        <x:v>0</x:v>
      </x:c>
      <x:c r="H1131" s="134" t="n">
        <x:v>282</x:v>
      </x:c>
      <x:c r="I1131" s="134" t="n">
        <x:v>199</x:v>
      </x:c>
      <x:c r="J1131" s="133" t="n">
        <x:v>11.352657004830919</x:v>
      </x:c>
      <x:c r="K1131" s="133" t="n">
        <x:v>11.313246162592382</x:v>
      </x:c>
      <x:c r="L1131" s="133" t="n">
        <x:v>11.40625</x:v>
      </x:c>
      <x:c r="M1131" s="133" t="n">
        <x:v>11.224489795918368</x:v>
      </x:c>
      <x:c r="N1131" s="133" t="n">
        <x:v>9.090909090909092</x:v>
      </x:c>
      <x:c r="O1131" s="133" t="n">
        <x:v>11.39240506329114</x:v>
      </x:c>
      <x:c r="P1131" s="132"/>
    </x:row>
    <x:row r="1132">
      <x:c r="A1132" s="136" t="str">
        <x:v>01125010803</x:v>
      </x:c>
      <x:c r="B1132" s="132" t="str">
        <x:v>Tuscaloosa County</x:v>
      </x:c>
      <x:c r="C1132" s="132" t="n">
        <x:v>1</x:v>
      </x:c>
      <x:c r="D1132" s="134" t="n">
        <x:v>2790</x:v>
      </x:c>
      <x:c r="E1132" s="133" t="n">
        <x:v>19</x:v>
      </x:c>
      <x:c r="F1132" s="134" t="n">
        <x:v>1155</x:v>
      </x:c>
      <x:c r="G1132" s="134" t="n">
        <x:v>0</x:v>
      </x:c>
      <x:c r="H1132" s="134" t="n">
        <x:v>480</x:v>
      </x:c>
      <x:c r="I1132" s="134" t="n">
        <x:v>199</x:v>
      </x:c>
      <x:c r="J1132" s="133" t="n">
        <x:v>17.204301075268816</x:v>
      </x:c>
      <x:c r="K1132" s="133" t="n">
        <x:v>17.22943722943723</x:v>
      </x:c>
      <x:c r="L1132" s="133" t="n">
        <x:v>17.23700887198986</x:v>
      </x:c>
      <x:c r="M1132" s="133" t="n">
        <x:v>17.151162790697676</x:v>
      </x:c>
      <x:c r="N1132" s="133" t="n">
        <x:v>17.647058823529413</x:v>
      </x:c>
      <x:c r="O1132" s="133" t="n">
        <x:v>17.270194986072422</x:v>
      </x:c>
      <x:c r="P1132" s="132"/>
    </x:row>
    <x:row r="1133">
      <x:c r="A1133" s="136" t="str">
        <x:v>01033020703</x:v>
      </x:c>
      <x:c r="B1133" s="132" t="str">
        <x:v>Colbert County</x:v>
      </x:c>
      <x:c r="C1133" s="132" t="n">
        <x:v>1</x:v>
      </x:c>
      <x:c r="D1133" s="134" t="n">
        <x:v>6796</x:v>
      </x:c>
      <x:c r="E1133" s="133" t="n">
        <x:v>16.4</x:v>
      </x:c>
      <x:c r="F1133" s="134" t="n">
        <x:v>5354</x:v>
      </x:c>
      <x:c r="G1133" s="134" t="n">
        <x:v>0</x:v>
      </x:c>
      <x:c r="H1133" s="134" t="n">
        <x:v>254</x:v>
      </x:c>
      <x:c r="I1133" s="134" t="n">
        <x:v>200</x:v>
      </x:c>
      <x:c r="J1133" s="133" t="n">
        <x:v>3.737492642731018</x:v>
      </x:c>
      <x:c r="K1133" s="133" t="n">
        <x:v>3.7355248412401942</x:v>
      </x:c>
      <x:c r="L1133" s="133" t="n">
        <x:v>3.7659717552118357</x:v>
      </x:c>
      <x:c r="M1133" s="133" t="n">
        <x:v>3.7307380373073804</x:v>
      </x:c>
      <x:c r="N1133" s="133" t="n">
        <x:v>0</x:v>
      </x:c>
      <x:c r="O1133" s="133" t="n">
        <x:v>3.8004750593824226</x:v>
      </x:c>
      <x:c r="P1133" s="132"/>
    </x:row>
    <x:row r="1134">
      <x:c r="A1134" s="136" t="str">
        <x:v>01097006408</x:v>
      </x:c>
      <x:c r="B1134" s="132" t="str">
        <x:v>Mobile County</x:v>
      </x:c>
      <x:c r="C1134" s="132" t="n">
        <x:v>1</x:v>
      </x:c>
      <x:c r="D1134" s="134" t="n">
        <x:v>4098</x:v>
      </x:c>
      <x:c r="E1134" s="133" t="n">
        <x:v>6.2</x:v>
      </x:c>
      <x:c r="F1134" s="134" t="n">
        <x:v>2453</x:v>
      </x:c>
      <x:c r="G1134" s="134" t="n">
        <x:v>0</x:v>
      </x:c>
      <x:c r="H1134" s="134" t="n">
        <x:v>335</x:v>
      </x:c>
      <x:c r="I1134" s="134" t="n">
        <x:v>200</x:v>
      </x:c>
      <x:c r="J1134" s="133" t="n">
        <x:v>8.174719375305028</x:v>
      </x:c>
      <x:c r="K1134" s="133" t="n">
        <x:v>8.153281695882592</x:v>
      </x:c>
      <x:c r="L1134" s="133" t="n">
        <x:v>8.15677966101695</x:v>
      </x:c>
      <x:c r="M1134" s="133" t="n">
        <x:v>8.186195826645266</x:v>
      </x:c>
      <x:c r="N1134" s="133" t="n">
        <x:v>9.090909090909092</x:v>
      </x:c>
      <x:c r="O1134" s="133" t="n">
        <x:v>8.16326530612245</x:v>
      </x:c>
      <x:c r="P1134" s="132"/>
    </x:row>
    <x:row r="1135">
      <x:c r="A1135" s="136" t="str">
        <x:v>01073012913</x:v>
      </x:c>
      <x:c r="B1135" s="132" t="str">
        <x:v>Jefferson County</x:v>
      </x:c>
      <x:c r="C1135" s="132" t="n">
        <x:v>1</x:v>
      </x:c>
      <x:c r="D1135" s="134" t="n">
        <x:v>4421</x:v>
      </x:c>
      <x:c r="E1135" s="133" t="n">
        <x:v>7.6</x:v>
      </x:c>
      <x:c r="F1135" s="134" t="n">
        <x:v>3451</x:v>
      </x:c>
      <x:c r="G1135" s="134" t="n">
        <x:v>0</x:v>
      </x:c>
      <x:c r="H1135" s="134" t="n">
        <x:v>258</x:v>
      </x:c>
      <x:c r="I1135" s="134" t="n">
        <x:v>201</x:v>
      </x:c>
      <x:c r="J1135" s="133" t="n">
        <x:v>5.835783759330468</x:v>
      </x:c>
      <x:c r="K1135" s="133" t="n">
        <x:v>5.824398725007244</x:v>
      </x:c>
      <x:c r="L1135" s="133" t="n">
        <x:v>5.830039525691699</x:v>
      </x:c>
      <x:c r="M1135" s="133" t="n">
        <x:v>5.763688760806916</x:v>
      </x:c>
      <x:c r="N1135" s="133" t="n">
        <x:v>6.077348066298343</x:v>
      </x:c>
      <x:c r="O1135" s="133" t="n">
        <x:v>5.978260869565218</x:v>
      </x:c>
      <x:c r="P1135" s="132"/>
    </x:row>
    <x:row r="1136">
      <x:c r="A1136" s="136" t="str">
        <x:v>01097003901</x:v>
      </x:c>
      <x:c r="B1136" s="132" t="str">
        <x:v>Mobile County</x:v>
      </x:c>
      <x:c r="C1136" s="132" t="n">
        <x:v>1</x:v>
      </x:c>
      <x:c r="D1136" s="134" t="n">
        <x:v>1924</x:v>
      </x:c>
      <x:c r="E1136" s="133" t="n">
        <x:v>29.1</x:v>
      </x:c>
      <x:c r="F1136" s="134" t="n">
        <x:v>844</x:v>
      </x:c>
      <x:c r="G1136" s="134" t="n">
        <x:v>0</x:v>
      </x:c>
      <x:c r="H1136" s="134" t="n">
        <x:v>461</x:v>
      </x:c>
      <x:c r="I1136" s="134" t="n">
        <x:v>202</x:v>
      </x:c>
      <x:c r="J1136" s="133" t="n">
        <x:v>23.96049896049896</x:v>
      </x:c>
      <x:c r="K1136" s="133" t="n">
        <x:v>23.933649289099527</x:v>
      </x:c>
      <x:c r="L1136" s="133" t="n">
        <x:v>23.943661971830984</x:v>
      </x:c>
      <x:c r="M1136" s="133" t="n">
        <x:v>23.876404494382022</x:v>
      </x:c>
      <x:c r="N1136" s="133" t="n">
        <x:v>23.636363636363637</x:v>
      </x:c>
      <x:c r="O1136" s="133" t="n">
        <x:v>23.983739837398375</x:v>
      </x:c>
      <x:c r="P1136" s="132"/>
    </x:row>
    <x:row r="1137">
      <x:c r="A1137" s="136" t="str">
        <x:v>01089001404</x:v>
      </x:c>
      <x:c r="B1137" s="132" t="str">
        <x:v>Madison County</x:v>
      </x:c>
      <x:c r="C1137" s="132" t="n">
        <x:v>1</x:v>
      </x:c>
      <x:c r="D1137" s="134" t="n">
        <x:v>3077</x:v>
      </x:c>
      <x:c r="E1137" s="133" t="n">
        <x:v>12.7</x:v>
      </x:c>
      <x:c r="F1137" s="134" t="n">
        <x:v>2400</x:v>
      </x:c>
      <x:c r="G1137" s="134" t="n">
        <x:v>0</x:v>
      </x:c>
      <x:c r="H1137" s="134" t="n">
        <x:v>260</x:v>
      </x:c>
      <x:c r="I1137" s="134" t="n">
        <x:v>203</x:v>
      </x:c>
      <x:c r="J1137" s="133" t="n">
        <x:v>8.449788755281118</x:v>
      </x:c>
      <x:c r="K1137" s="133" t="n">
        <x:v>8.458333333333334</x:v>
      </x:c>
      <x:c r="L1137" s="133" t="n">
        <x:v>8.444444444444445</x:v>
      </x:c>
      <x:c r="M1137" s="133" t="n">
        <x:v>8.557457212713937</x:v>
      </x:c>
      <x:c r="N1137" s="133" t="n">
        <x:v>7.894736842105263</x:v>
      </x:c>
      <x:c r="O1137" s="133" t="n">
        <x:v>8.695652173913043</x:v>
      </x:c>
      <x:c r="P1137" s="132"/>
    </x:row>
    <x:row r="1138">
      <x:c r="A1138" s="136" t="str">
        <x:v>01125012307</x:v>
      </x:c>
      <x:c r="B1138" s="132" t="str">
        <x:v>Tuscaloosa County</x:v>
      </x:c>
      <x:c r="C1138" s="132" t="n">
        <x:v>1</x:v>
      </x:c>
      <x:c r="D1138" s="134" t="n">
        <x:v>1382</x:v>
      </x:c>
      <x:c r="E1138" s="133" t="n">
        <x:v>31.6</x:v>
      </x:c>
      <x:c r="F1138" s="134" t="n">
        <x:v>858</x:v>
      </x:c>
      <x:c r="G1138" s="134" t="n">
        <x:v>0</x:v>
      </x:c>
      <x:c r="H1138" s="134" t="n">
        <x:v>327</x:v>
      </x:c>
      <x:c r="I1138" s="134" t="n">
        <x:v>203</x:v>
      </x:c>
      <x:c r="J1138" s="133" t="n">
        <x:v>23.66136034732272</x:v>
      </x:c>
      <x:c r="K1138" s="133" t="n">
        <x:v>23.65967365967366</x:v>
      </x:c>
      <x:c r="L1138" s="133" t="n">
        <x:v>23.829787234042552</x:v>
      </x:c>
      <x:c r="M1138" s="133" t="n">
        <x:v>23.529411764705884</x:v>
      </x:c>
      <x:c r="N1138" s="133" t="n">
        <x:v>25</x:v>
      </x:c>
      <x:c r="O1138" s="133" t="n">
        <x:v>22.22222222222222</x:v>
      </x:c>
      <x:c r="P1138" s="132"/>
    </x:row>
    <x:row r="1139">
      <x:c r="A1139" s="136" t="str">
        <x:v>01073002305</x:v>
      </x:c>
      <x:c r="B1139" s="132" t="str">
        <x:v>Jefferson County</x:v>
      </x:c>
      <x:c r="C1139" s="132" t="n">
        <x:v>1</x:v>
      </x:c>
      <x:c r="D1139" s="134" t="n">
        <x:v>3050</x:v>
      </x:c>
      <x:c r="E1139" s="133" t="n">
        <x:v>13.6</x:v>
      </x:c>
      <x:c r="F1139" s="134" t="n">
        <x:v>2326</x:v>
      </x:c>
      <x:c r="G1139" s="134" t="n">
        <x:v>0</x:v>
      </x:c>
      <x:c r="H1139" s="134" t="n">
        <x:v>267</x:v>
      </x:c>
      <x:c r="I1139" s="134" t="n">
        <x:v>204</x:v>
      </x:c>
      <x:c r="J1139" s="133" t="n">
        <x:v>8.754098360655737</x:v>
      </x:c>
      <x:c r="K1139" s="133" t="n">
        <x:v>8.770421324161651</x:v>
      </x:c>
      <x:c r="L1139" s="133" t="n">
        <x:v>8.793456032719837</x:v>
      </x:c>
      <x:c r="M1139" s="133" t="n">
        <x:v>8.88888888888889</x:v>
      </x:c>
      <x:c r="N1139" s="133" t="n">
        <x:v>8.695652173913043</x:v>
      </x:c>
      <x:c r="O1139" s="133" t="n">
        <x:v>9</x:v>
      </x:c>
      <x:c r="P1139" s="132"/>
    </x:row>
    <x:row r="1140">
      <x:c r="A1140" s="136" t="str">
        <x:v>01023956800</x:v>
      </x:c>
      <x:c r="B1140" s="132" t="str">
        <x:v>Choctaw County</x:v>
      </x:c>
      <x:c r="C1140" s="132" t="n">
        <x:v>0</x:v>
      </x:c>
      <x:c r="D1140" s="134" t="n">
        <x:v>4175</x:v>
      </x:c>
      <x:c r="E1140" s="133" t="n">
        <x:v>16</x:v>
      </x:c>
      <x:c r="F1140" s="134" t="n">
        <x:v>2383</x:v>
      </x:c>
      <x:c r="G1140" s="134" t="n">
        <x:v>0</x:v>
      </x:c>
      <x:c r="H1140" s="134" t="n">
        <x:v>366</x:v>
      </x:c>
      <x:c r="I1140" s="134" t="n">
        <x:v>209</x:v>
      </x:c>
      <x:c r="J1140" s="133" t="n">
        <x:v>8.766467065868264</x:v>
      </x:c>
      <x:c r="K1140" s="133" t="n">
        <x:v>8.770457406630298</x:v>
      </x:c>
      <x:c r="L1140" s="133" t="n">
        <x:v>8.75912408759124</x:v>
      </x:c>
      <x:c r="M1140" s="133" t="n">
        <x:v>8.754863813229573</x:v>
      </x:c>
      <x:c r="N1140" s="133" t="n">
        <x:v>8.552631578947368</x:v>
      </x:c>
      <x:c r="O1140" s="133" t="n">
        <x:v>8.620689655172415</x:v>
      </x:c>
      <x:c r="P1140" s="132"/>
    </x:row>
    <x:row r="1141">
      <x:c r="A1141" s="136" t="str">
        <x:v>01087232300</x:v>
      </x:c>
      <x:c r="B1141" s="132" t="str">
        <x:v>Macon County</x:v>
      </x:c>
      <x:c r="C1141" s="132" t="n">
        <x:v>0</x:v>
      </x:c>
      <x:c r="D1141" s="134" t="n">
        <x:v>1333</x:v>
      </x:c>
      <x:c r="E1141" s="133" t="n">
        <x:v>17.2</x:v>
      </x:c>
      <x:c r="F1141" s="134" t="n">
        <x:v>799</x:v>
      </x:c>
      <x:c r="G1141" s="134" t="n">
        <x:v>0</x:v>
      </x:c>
      <x:c r="H1141" s="134" t="n">
        <x:v>351</x:v>
      </x:c>
      <x:c r="I1141" s="134" t="n">
        <x:v>210</x:v>
      </x:c>
      <x:c r="J1141" s="133" t="n">
        <x:v>26.33158289572393</x:v>
      </x:c>
      <x:c r="K1141" s="133" t="n">
        <x:v>26.2828535669587</x:v>
      </x:c>
      <x:c r="L1141" s="133" t="n">
        <x:v>26.237623762376238</x:v>
      </x:c>
      <x:c r="M1141" s="133" t="n">
        <x:v>26.285714285714285</x:v>
      </x:c>
      <x:c r="N1141" s="133" t="n">
        <x:v>26.19047619047619</x:v>
      </x:c>
      <x:c r="O1141" s="133" t="n">
        <x:v>26.035502958579883</x:v>
      </x:c>
      <x:c r="P1141" s="132"/>
    </x:row>
    <x:row r="1142">
      <x:c r="A1142" s="136" t="str">
        <x:v>01073012401</x:v>
      </x:c>
      <x:c r="B1142" s="132" t="str">
        <x:v>Jefferson County</x:v>
      </x:c>
      <x:c r="C1142" s="132" t="n">
        <x:v>1</x:v>
      </x:c>
      <x:c r="D1142" s="134" t="n">
        <x:v>3660</x:v>
      </x:c>
      <x:c r="E1142" s="133" t="n">
        <x:v>12.8</x:v>
      </x:c>
      <x:c r="F1142" s="134" t="n">
        <x:v>2702</x:v>
      </x:c>
      <x:c r="G1142" s="134" t="n">
        <x:v>0</x:v>
      </x:c>
      <x:c r="H1142" s="134" t="n">
        <x:v>288</x:v>
      </x:c>
      <x:c r="I1142" s="134" t="n">
        <x:v>212</x:v>
      </x:c>
      <x:c r="J1142" s="133" t="n">
        <x:v>7.868852459016393</x:v>
      </x:c>
      <x:c r="K1142" s="133" t="n">
        <x:v>7.846039970392302</x:v>
      </x:c>
      <x:c r="L1142" s="133" t="n">
        <x:v>7.840236686390533</x:v>
      </x:c>
      <x:c r="M1142" s="133" t="n">
        <x:v>7.854630715123095</x:v>
      </x:c>
      <x:c r="N1142" s="133" t="n">
        <x:v>7.2727272727272725</x:v>
      </x:c>
      <x:c r="O1142" s="133" t="n">
        <x:v>7.954545454545454</x:v>
      </x:c>
      <x:c r="P1142" s="132"/>
    </x:row>
    <x:row r="1143">
      <x:c r="A1143" s="136" t="str">
        <x:v>01037961200</x:v>
      </x:c>
      <x:c r="B1143" s="132" t="str">
        <x:v>Coosa County</x:v>
      </x:c>
      <x:c r="C1143" s="132" t="n">
        <x:v>0</x:v>
      </x:c>
      <x:c r="D1143" s="134" t="n">
        <x:v>3065</x:v>
      </x:c>
      <x:c r="E1143" s="133" t="n">
        <x:v>8.9</x:v>
      </x:c>
      <x:c r="F1143" s="134" t="n">
        <x:v>2003</x:v>
      </x:c>
      <x:c r="G1143" s="134" t="n">
        <x:v>0</x:v>
      </x:c>
      <x:c r="H1143" s="134" t="n">
        <x:v>325</x:v>
      </x:c>
      <x:c r="I1143" s="134" t="n">
        <x:v>213</x:v>
      </x:c>
      <x:c r="J1143" s="133" t="n">
        <x:v>10.603588907014682</x:v>
      </x:c>
      <x:c r="K1143" s="133" t="n">
        <x:v>10.634048926610085</x:v>
      </x:c>
      <x:c r="L1143" s="133" t="n">
        <x:v>10.690423162583519</x:v>
      </x:c>
      <x:c r="M1143" s="133" t="n">
        <x:v>10.618436406067678</x:v>
      </x:c>
      <x:c r="N1143" s="133" t="n">
        <x:v>10.606060606060606</x:v>
      </x:c>
      <x:c r="O1143" s="133" t="n">
        <x:v>10.95890410958904</x:v>
      </x:c>
      <x:c r="P1143" s="132"/>
    </x:row>
    <x:row r="1144">
      <x:c r="A1144" s="136" t="str">
        <x:v>01125010804</x:v>
      </x:c>
      <x:c r="B1144" s="132" t="str">
        <x:v>Tuscaloosa County</x:v>
      </x:c>
      <x:c r="C1144" s="132" t="n">
        <x:v>1</x:v>
      </x:c>
      <x:c r="D1144" s="134" t="n">
        <x:v>2581</x:v>
      </x:c>
      <x:c r="E1144" s="133" t="n">
        <x:v>36.8</x:v>
      </x:c>
      <x:c r="F1144" s="134" t="n">
        <x:v>1139</x:v>
      </x:c>
      <x:c r="G1144" s="134" t="n">
        <x:v>0</x:v>
      </x:c>
      <x:c r="H1144" s="134" t="n">
        <x:v>485</x:v>
      </x:c>
      <x:c r="I1144" s="134" t="n">
        <x:v>214</x:v>
      </x:c>
      <x:c r="J1144" s="133" t="n">
        <x:v>18.791166214645486</x:v>
      </x:c>
      <x:c r="K1144" s="133" t="n">
        <x:v>18.788410886742756</x:v>
      </x:c>
      <x:c r="L1144" s="133" t="n">
        <x:v>18.806509945750452</x:v>
      </x:c>
      <x:c r="M1144" s="133" t="n">
        <x:v>18.88888888888889</x:v>
      </x:c>
      <x:c r="N1144" s="133" t="n">
        <x:v>18.181818181818183</x:v>
      </x:c>
      <x:c r="O1144" s="133" t="n">
        <x:v>18.6046511627907</x:v>
      </x:c>
      <x:c r="P1144" s="132"/>
    </x:row>
    <x:row r="1145">
      <x:c r="A1145" s="136" t="str">
        <x:v>01073010706</x:v>
      </x:c>
      <x:c r="B1145" s="132" t="str">
        <x:v>Jefferson County</x:v>
      </x:c>
      <x:c r="C1145" s="132" t="n">
        <x:v>1</x:v>
      </x:c>
      <x:c r="D1145" s="134" t="n">
        <x:v>4893</x:v>
      </x:c>
      <x:c r="E1145" s="133" t="n">
        <x:v>18.6</x:v>
      </x:c>
      <x:c r="F1145" s="134" t="n">
        <x:v>2553</x:v>
      </x:c>
      <x:c r="G1145" s="134" t="n">
        <x:v>0</x:v>
      </x:c>
      <x:c r="H1145" s="134" t="n">
        <x:v>420</x:v>
      </x:c>
      <x:c r="I1145" s="134" t="n">
        <x:v>219</x:v>
      </x:c>
      <x:c r="J1145" s="133" t="n">
        <x:v>8.583690987124463</x:v>
      </x:c>
      <x:c r="K1145" s="133" t="n">
        <x:v>8.578143360752057</x:v>
      </x:c>
      <x:c r="L1145" s="133" t="n">
        <x:v>8.616780045351474</x:v>
      </x:c>
      <x:c r="M1145" s="133" t="n">
        <x:v>8.636363636363637</x:v>
      </x:c>
      <x:c r="N1145" s="133" t="n">
        <x:v>12.5</x:v>
      </x:c>
      <x:c r="O1145" s="133" t="n">
        <x:v>8.583690987124463</x:v>
      </x:c>
      <x:c r="P1145" s="132"/>
    </x:row>
    <x:row r="1146">
      <x:c r="A1146" s="136" t="str">
        <x:v>01073011805</x:v>
      </x:c>
      <x:c r="B1146" s="132" t="str">
        <x:v>Jefferson County</x:v>
      </x:c>
      <x:c r="C1146" s="132" t="n">
        <x:v>1</x:v>
      </x:c>
      <x:c r="D1146" s="134" t="n">
        <x:v>3552</x:v>
      </x:c>
      <x:c r="E1146" s="133" t="n">
        <x:v>25.5</x:v>
      </x:c>
      <x:c r="F1146" s="134" t="n">
        <x:v>2024</x:v>
      </x:c>
      <x:c r="G1146" s="134" t="n">
        <x:v>0</x:v>
      </x:c>
      <x:c r="H1146" s="134" t="n">
        <x:v>384</x:v>
      </x:c>
      <x:c r="I1146" s="134" t="n">
        <x:v>219</x:v>
      </x:c>
      <x:c r="J1146" s="133" t="n">
        <x:v>10.81081081081081</x:v>
      </x:c>
      <x:c r="K1146" s="133" t="n">
        <x:v>10.820158102766799</x:v>
      </x:c>
      <x:c r="L1146" s="133" t="n">
        <x:v>10.838445807770961</x:v>
      </x:c>
      <x:c r="M1146" s="133" t="n">
        <x:v>10.843373493975903</x:v>
      </x:c>
      <x:c r="N1146" s="133"/>
      <x:c r="O1146" s="133" t="n">
        <x:v>10.555555555555555</x:v>
      </x:c>
      <x:c r="P1146" s="132"/>
    </x:row>
    <x:row r="1147">
      <x:c r="A1147" s="136" t="str">
        <x:v>01065040200</x:v>
      </x:c>
      <x:c r="B1147" s="132" t="str">
        <x:v>Hale County</x:v>
      </x:c>
      <x:c r="C1147" s="132" t="n">
        <x:v>0</x:v>
      </x:c>
      <x:c r="D1147" s="134" t="n">
        <x:v>1396</x:v>
      </x:c>
      <x:c r="E1147" s="133" t="n">
        <x:v>16.8</x:v>
      </x:c>
      <x:c r="F1147" s="134" t="n">
        <x:v>834</x:v>
      </x:c>
      <x:c r="G1147" s="134" t="n">
        <x:v>0</x:v>
      </x:c>
      <x:c r="H1147" s="134" t="n">
        <x:v>368</x:v>
      </x:c>
      <x:c r="I1147" s="134" t="n">
        <x:v>220</x:v>
      </x:c>
      <x:c r="J1147" s="133" t="n">
        <x:v>26.361031518624642</x:v>
      </x:c>
      <x:c r="K1147" s="133" t="n">
        <x:v>26.378896882494004</x:v>
      </x:c>
      <x:c r="L1147" s="133" t="n">
        <x:v>26.523297491039425</x:v>
      </x:c>
      <x:c r="M1147" s="133" t="n">
        <x:v>26.2987012987013</x:v>
      </x:c>
      <x:c r="N1147" s="133" t="n">
        <x:v>25</x:v>
      </x:c>
      <x:c r="O1147" s="133" t="n">
        <x:v>25</x:v>
      </x:c>
      <x:c r="P1147" s="132"/>
    </x:row>
    <x:row r="1148">
      <x:c r="A1148" s="136" t="str">
        <x:v>01033021000</x:v>
      </x:c>
      <x:c r="B1148" s="132" t="str">
        <x:v>Colbert County</x:v>
      </x:c>
      <x:c r="C1148" s="132" t="n">
        <x:v>0</x:v>
      </x:c>
      <x:c r="D1148" s="134" t="n">
        <x:v>3678</x:v>
      </x:c>
      <x:c r="E1148" s="133" t="n">
        <x:v>27</x:v>
      </x:c>
      <x:c r="F1148" s="134" t="n">
        <x:v>2221</x:v>
      </x:c>
      <x:c r="G1148" s="134" t="n">
        <x:v>0</x:v>
      </x:c>
      <x:c r="H1148" s="134" t="n">
        <x:v>368</x:v>
      </x:c>
      <x:c r="I1148" s="134" t="n">
        <x:v>222</x:v>
      </x:c>
      <x:c r="J1148" s="133" t="n">
        <x:v>10.005437737901033</x:v>
      </x:c>
      <x:c r="K1148" s="133" t="n">
        <x:v>9.995497523638</x:v>
      </x:c>
      <x:c r="L1148" s="133" t="n">
        <x:v>10</x:v>
      </x:c>
      <x:c r="M1148" s="133" t="n">
        <x:v>9.988249118683902</x:v>
      </x:c>
      <x:c r="N1148" s="133" t="n">
        <x:v>9.58904109589041</x:v>
      </x:c>
      <x:c r="O1148" s="133" t="n">
        <x:v>9.97229916897507</x:v>
      </x:c>
      <x:c r="P1148" s="132"/>
    </x:row>
    <x:row r="1149">
      <x:c r="A1149" s="136" t="str">
        <x:v>01047956300</x:v>
      </x:c>
      <x:c r="B1149" s="132" t="str">
        <x:v>Dallas County</x:v>
      </x:c>
      <x:c r="C1149" s="132" t="n">
        <x:v>1</x:v>
      </x:c>
      <x:c r="D1149" s="134" t="n">
        <x:v>3616</x:v>
      </x:c>
      <x:c r="E1149" s="133" t="n">
        <x:v>37.7</x:v>
      </x:c>
      <x:c r="F1149" s="134" t="n">
        <x:v>1923</x:v>
      </x:c>
      <x:c r="G1149" s="134" t="n">
        <x:v>0</x:v>
      </x:c>
      <x:c r="H1149" s="134" t="n">
        <x:v>423</x:v>
      </x:c>
      <x:c r="I1149" s="134" t="n">
        <x:v>225</x:v>
      </x:c>
      <x:c r="J1149" s="133" t="n">
        <x:v>11.698008849557523</x:v>
      </x:c>
      <x:c r="K1149" s="133" t="n">
        <x:v>11.700468018720748</x:v>
      </x:c>
      <x:c r="L1149" s="133" t="n">
        <x:v>11.674008810572687</x:v>
      </x:c>
      <x:c r="M1149" s="133" t="n">
        <x:v>11.620294599018003</x:v>
      </x:c>
      <x:c r="N1149" s="133" t="n">
        <x:v>11.74698795180723</x:v>
      </x:c>
      <x:c r="O1149" s="133" t="n">
        <x:v>11.671087533156498</x:v>
      </x:c>
      <x:c r="P1149" s="132"/>
    </x:row>
    <x:row r="1150">
      <x:c r="A1150" s="136" t="str">
        <x:v>01089000301</x:v>
      </x:c>
      <x:c r="B1150" s="132" t="str">
        <x:v>Madison County</x:v>
      </x:c>
      <x:c r="C1150" s="132" t="n">
        <x:v>1</x:v>
      </x:c>
      <x:c r="D1150" s="134" t="n">
        <x:v>3965</x:v>
      </x:c>
      <x:c r="E1150" s="133" t="n">
        <x:v>28.9</x:v>
      </x:c>
      <x:c r="F1150" s="134" t="n">
        <x:v>2146</x:v>
      </x:c>
      <x:c r="G1150" s="134" t="n">
        <x:v>0</x:v>
      </x:c>
      <x:c r="H1150" s="134" t="n">
        <x:v>423</x:v>
      </x:c>
      <x:c r="I1150" s="134" t="n">
        <x:v>229</x:v>
      </x:c>
      <x:c r="J1150" s="133" t="n">
        <x:v>10.668348045397225</x:v>
      </x:c>
      <x:c r="K1150" s="133" t="n">
        <x:v>10.671015843429636</x:v>
      </x:c>
      <x:c r="L1150" s="133" t="n">
        <x:v>10.69723018147087</x:v>
      </x:c>
      <x:c r="M1150" s="133" t="n">
        <x:v>10.708661417322835</x:v>
      </x:c>
      <x:c r="N1150" s="133" t="n">
        <x:v>11.11111111111111</x:v>
      </x:c>
      <x:c r="O1150" s="133" t="n">
        <x:v>10.761154855643044</x:v>
      </x:c>
      <x:c r="P1150" s="132"/>
    </x:row>
    <x:row r="1151">
      <x:c r="A1151" s="136" t="str">
        <x:v>01037961100</x:v>
      </x:c>
      <x:c r="B1151" s="132" t="str">
        <x:v>Coosa County</x:v>
      </x:c>
      <x:c r="C1151" s="132" t="n">
        <x:v>0</x:v>
      </x:c>
      <x:c r="D1151" s="134" t="n">
        <x:v>3625</x:v>
      </x:c>
      <x:c r="E1151" s="133" t="n">
        <x:v>8.6</x:v>
      </x:c>
      <x:c r="F1151" s="134" t="n">
        <x:v>2588</x:v>
      </x:c>
      <x:c r="G1151" s="134" t="n">
        <x:v>0</x:v>
      </x:c>
      <x:c r="H1151" s="134" t="n">
        <x:v>329</x:v>
      </x:c>
      <x:c r="I1151" s="134" t="n">
        <x:v>235</x:v>
      </x:c>
      <x:c r="J1151" s="133" t="n">
        <x:v>9.075862068965517</x:v>
      </x:c>
      <x:c r="K1151" s="133" t="n">
        <x:v>9.080370942812984</x:v>
      </x:c>
      <x:c r="L1151" s="133" t="n">
        <x:v>9.0625</x:v>
      </x:c>
      <x:c r="M1151" s="133" t="n">
        <x:v>9.07928388746803</x:v>
      </x:c>
      <x:c r="N1151" s="133" t="n">
        <x:v>8.88888888888889</x:v>
      </x:c>
      <x:c r="O1151" s="133" t="n">
        <x:v>8.982035928143713</x:v>
      </x:c>
      <x:c r="P1151" s="132"/>
    </x:row>
    <x:row r="1152">
      <x:c r="A1152" s="136" t="str">
        <x:v>01073010402</x:v>
      </x:c>
      <x:c r="B1152" s="132" t="str">
        <x:v>Jefferson County</x:v>
      </x:c>
      <x:c r="C1152" s="132" t="n">
        <x:v>1</x:v>
      </x:c>
      <x:c r="D1152" s="134" t="n">
        <x:v>1982</x:v>
      </x:c>
      <x:c r="E1152" s="133" t="n">
        <x:v>25.5</x:v>
      </x:c>
      <x:c r="F1152" s="134" t="n">
        <x:v>980</x:v>
      </x:c>
      <x:c r="G1152" s="134" t="n">
        <x:v>0</x:v>
      </x:c>
      <x:c r="H1152" s="134" t="n">
        <x:v>477</x:v>
      </x:c>
      <x:c r="I1152" s="134" t="n">
        <x:v>236</x:v>
      </x:c>
      <x:c r="J1152" s="133" t="n">
        <x:v>24.06659939455096</x:v>
      </x:c>
      <x:c r="K1152" s="133" t="n">
        <x:v>24.081632653061224</x:v>
      </x:c>
      <x:c r="L1152" s="133" t="n">
        <x:v>24.107142857142858</x:v>
      </x:c>
      <x:c r="M1152" s="133" t="n">
        <x:v>23.958333333333332</x:v>
      </x:c>
      <x:c r="N1152" s="133" t="n">
        <x:v>23.80952380952381</x:v>
      </x:c>
      <x:c r="O1152" s="133" t="n">
        <x:v>24.050632911392405</x:v>
      </x:c>
      <x:c r="P1152" s="132"/>
    </x:row>
    <x:row r="1153">
      <x:c r="A1153" s="136" t="str">
        <x:v>01101005410</x:v>
      </x:c>
      <x:c r="B1153" s="132" t="str">
        <x:v>Montgomery County</x:v>
      </x:c>
      <x:c r="C1153" s="132" t="n">
        <x:v>1</x:v>
      </x:c>
      <x:c r="D1153" s="134" t="n">
        <x:v>5070</x:v>
      </x:c>
      <x:c r="E1153" s="133" t="n">
        <x:v>14.1</x:v>
      </x:c>
      <x:c r="F1153" s="134" t="n">
        <x:v>2882</x:v>
      </x:c>
      <x:c r="G1153" s="134" t="n">
        <x:v>0</x:v>
      </x:c>
      <x:c r="H1153" s="134" t="n">
        <x:v>416</x:v>
      </x:c>
      <x:c r="I1153" s="134" t="n">
        <x:v>237</x:v>
      </x:c>
      <x:c r="J1153" s="133" t="n">
        <x:v>8.205128205128204</x:v>
      </x:c>
      <x:c r="K1153" s="133" t="n">
        <x:v>8.223455933379597</x:v>
      </x:c>
      <x:c r="L1153" s="133" t="n">
        <x:v>8.180943214629451</x:v>
      </x:c>
      <x:c r="M1153" s="133" t="n">
        <x:v>8.219178082191782</x:v>
      </x:c>
      <x:c r="N1153" s="133" t="n">
        <x:v>8.058608058608058</x:v>
      </x:c>
      <x:c r="O1153" s="133" t="n">
        <x:v>8.277404921700224</x:v>
      </x:c>
      <x:c r="P1153" s="132"/>
    </x:row>
    <x:row r="1154">
      <x:c r="A1154" s="136" t="str">
        <x:v>01041963800</x:v>
      </x:c>
      <x:c r="B1154" s="132" t="str">
        <x:v>Crenshaw County</x:v>
      </x:c>
      <x:c r="C1154" s="132" t="n">
        <x:v>0</x:v>
      </x:c>
      <x:c r="D1154" s="134" t="n">
        <x:v>1561</x:v>
      </x:c>
      <x:c r="E1154" s="133" t="n">
        <x:v>16.7</x:v>
      </x:c>
      <x:c r="F1154" s="134" t="n">
        <x:v>888</x:v>
      </x:c>
      <x:c r="G1154" s="134" t="n">
        <x:v>0</x:v>
      </x:c>
      <x:c r="H1154" s="134" t="n">
        <x:v>430</x:v>
      </x:c>
      <x:c r="I1154" s="134" t="n">
        <x:v>245</x:v>
      </x:c>
      <x:c r="J1154" s="133" t="n">
        <x:v>27.546444586803332</x:v>
      </x:c>
      <x:c r="K1154" s="133" t="n">
        <x:v>27.59009009009009</x:v>
      </x:c>
      <x:c r="L1154" s="133" t="n">
        <x:v>27.528089887640448</x:v>
      </x:c>
      <x:c r="M1154" s="133" t="n">
        <x:v>27.63975155279503</x:v>
      </x:c>
      <x:c r="N1154" s="133" t="n">
        <x:v>27.272727272727273</x:v>
      </x:c>
      <x:c r="O1154" s="133" t="n">
        <x:v>27.428571428571427</x:v>
      </x:c>
      <x:c r="P1154" s="132"/>
    </x:row>
    <x:row r="1155">
      <x:c r="A1155" s="136" t="str">
        <x:v>01101005604</x:v>
      </x:c>
      <x:c r="B1155" s="132" t="str">
        <x:v>Montgomery County</x:v>
      </x:c>
      <x:c r="C1155" s="132" t="n">
        <x:v>0</x:v>
      </x:c>
      <x:c r="D1155" s="134" t="n">
        <x:v>3541</x:v>
      </x:c>
      <x:c r="E1155" s="133" t="n">
        <x:v>3.8</x:v>
      </x:c>
      <x:c r="F1155" s="134" t="n">
        <x:v>3263</x:v>
      </x:c>
      <x:c r="G1155" s="134" t="n">
        <x:v>0</x:v>
      </x:c>
      <x:c r="H1155" s="134" t="n">
        <x:v>267</x:v>
      </x:c>
      <x:c r="I1155" s="134" t="n">
        <x:v>246</x:v>
      </x:c>
      <x:c r="J1155" s="133" t="n">
        <x:v>7.540242869245976</x:v>
      </x:c>
      <x:c r="K1155" s="133" t="n">
        <x:v>7.539074471345388</x:v>
      </x:c>
      <x:c r="L1155" s="133" t="n">
        <x:v>7.4766355140186915</x:v>
      </x:c>
      <x:c r="M1155" s="133" t="n">
        <x:v>7.5816993464052285</x:v>
      </x:c>
      <x:c r="N1155" s="133"/>
      <x:c r="O1155" s="133" t="n">
        <x:v>6.521739130434782</x:v>
      </x:c>
      <x:c r="P1155" s="132"/>
    </x:row>
    <x:row r="1156">
      <x:c r="A1156" s="136" t="str">
        <x:v>01097007400</x:v>
      </x:c>
      <x:c r="B1156" s="132" t="str">
        <x:v>Mobile County</x:v>
      </x:c>
      <x:c r="C1156" s="132" t="n">
        <x:v>1</x:v>
      </x:c>
      <x:c r="D1156" s="134" t="n">
        <x:v>2878</x:v>
      </x:c>
      <x:c r="E1156" s="133" t="n">
        <x:v>41.4</x:v>
      </x:c>
      <x:c r="F1156" s="134" t="n">
        <x:v>1681</x:v>
      </x:c>
      <x:c r="G1156" s="134" t="n">
        <x:v>0</x:v>
      </x:c>
      <x:c r="H1156" s="134" t="n">
        <x:v>422</x:v>
      </x:c>
      <x:c r="I1156" s="134" t="n">
        <x:v>247</x:v>
      </x:c>
      <x:c r="J1156" s="133" t="n">
        <x:v>14.662960389159139</x:v>
      </x:c>
      <x:c r="K1156" s="133" t="n">
        <x:v>14.69363474122546</x:v>
      </x:c>
      <x:c r="L1156" s="133" t="n">
        <x:v>14.715189873417721</x:v>
      </x:c>
      <x:c r="M1156" s="133" t="n">
        <x:v>14.583333333333334</x:v>
      </x:c>
      <x:c r="N1156" s="133" t="n">
        <x:v>14.285714285714286</x:v>
      </x:c>
      <x:c r="O1156" s="133" t="n">
        <x:v>14.576271186440678</x:v>
      </x:c>
      <x:c r="P1156" s="132"/>
    </x:row>
    <x:row r="1157">
      <x:c r="A1157" s="136" t="str">
        <x:v>01129043900</x:v>
      </x:c>
      <x:c r="B1157" s="132" t="str">
        <x:v>Washington County</x:v>
      </x:c>
      <x:c r="C1157" s="132" t="n">
        <x:v>0</x:v>
      </x:c>
      <x:c r="D1157" s="134" t="n">
        <x:v>2548</x:v>
      </x:c>
      <x:c r="E1157" s="133" t="n">
        <x:v>14.9</x:v>
      </x:c>
      <x:c r="F1157" s="134" t="n">
        <x:v>1540</x:v>
      </x:c>
      <x:c r="G1157" s="134" t="n">
        <x:v>0</x:v>
      </x:c>
      <x:c r="H1157" s="134" t="n">
        <x:v>408</x:v>
      </x:c>
      <x:c r="I1157" s="134" t="n">
        <x:v>247</x:v>
      </x:c>
      <x:c r="J1157" s="133" t="n">
        <x:v>16.012558869701728</x:v>
      </x:c>
      <x:c r="K1157" s="133" t="n">
        <x:v>16.038961038961038</x:v>
      </x:c>
      <x:c r="L1157" s="133" t="n">
        <x:v>16.046966731898237</x:v>
      </x:c>
      <x:c r="M1157" s="133" t="n">
        <x:v>16.040955631399317</x:v>
      </x:c>
      <x:c r="N1157" s="133" t="n">
        <x:v>15.555555555555555</x:v>
      </x:c>
      <x:c r="O1157" s="133" t="n">
        <x:v>16</x:v>
      </x:c>
      <x:c r="P1157" s="132"/>
    </x:row>
    <x:row r="1158">
      <x:c r="A1158" s="136" t="str">
        <x:v>01097006802</x:v>
      </x:c>
      <x:c r="B1158" s="132" t="str">
        <x:v>Mobile County</x:v>
      </x:c>
      <x:c r="C1158" s="132" t="n">
        <x:v>1</x:v>
      </x:c>
      <x:c r="D1158" s="134" t="n">
        <x:v>3112</x:v>
      </x:c>
      <x:c r="E1158" s="133" t="n">
        <x:v>12.8</x:v>
      </x:c>
      <x:c r="F1158" s="134" t="n">
        <x:v>1945</x:v>
      </x:c>
      <x:c r="G1158" s="134" t="n">
        <x:v>0</x:v>
      </x:c>
      <x:c r="H1158" s="134" t="n">
        <x:v>402</x:v>
      </x:c>
      <x:c r="I1158" s="134" t="n">
        <x:v>251</x:v>
      </x:c>
      <x:c r="J1158" s="133" t="n">
        <x:v>12.917737789203084</x:v>
      </x:c>
      <x:c r="K1158" s="133" t="n">
        <x:v>12.904884318766067</x:v>
      </x:c>
      <x:c r="L1158" s="133" t="n">
        <x:v>12.926136363636363</x:v>
      </x:c>
      <x:c r="M1158" s="133" t="n">
        <x:v>12.979890310786105</x:v>
      </x:c>
      <x:c r="N1158" s="133" t="n">
        <x:v>13.636363636363637</x:v>
      </x:c>
      <x:c r="O1158" s="133" t="n">
        <x:v>13.063063063063064</x:v>
      </x:c>
      <x:c r="P1158" s="132"/>
    </x:row>
    <x:row r="1159">
      <x:c r="A1159" s="136" t="str">
        <x:v>01125010403</x:v>
      </x:c>
      <x:c r="B1159" s="132" t="str">
        <x:v>Tuscaloosa County</x:v>
      </x:c>
      <x:c r="C1159" s="132" t="n">
        <x:v>1</x:v>
      </x:c>
      <x:c r="D1159" s="134" t="n">
        <x:v>4326</x:v>
      </x:c>
      <x:c r="E1159" s="133" t="n">
        <x:v>19</x:v>
      </x:c>
      <x:c r="F1159" s="134" t="n">
        <x:v>3024</x:v>
      </x:c>
      <x:c r="G1159" s="134" t="n">
        <x:v>0</x:v>
      </x:c>
      <x:c r="H1159" s="134" t="n">
        <x:v>359</x:v>
      </x:c>
      <x:c r="I1159" s="134" t="n">
        <x:v>251</x:v>
      </x:c>
      <x:c r="J1159" s="133" t="n">
        <x:v>8.298659269533056</x:v>
      </x:c>
      <x:c r="K1159" s="133" t="n">
        <x:v>8.30026455026455</x:v>
      </x:c>
      <x:c r="L1159" s="133" t="n">
        <x:v>8.263473053892216</x:v>
      </x:c>
      <x:c r="M1159" s="133" t="n">
        <x:v>8.333333333333334</x:v>
      </x:c>
      <x:c r="N1159" s="133" t="n">
        <x:v>8.181818181818182</x:v>
      </x:c>
      <x:c r="O1159" s="133" t="n">
        <x:v>8.51063829787234</x:v>
      </x:c>
      <x:c r="P1159" s="132"/>
    </x:row>
    <x:row r="1160">
      <x:c r="A1160" s="136" t="str">
        <x:v>01001020502</x:v>
      </x:c>
      <x:c r="B1160" s="132" t="str">
        <x:v>Autauga County</x:v>
      </x:c>
      <x:c r="C1160" s="132" t="n">
        <x:v>1</x:v>
      </x:c>
      <x:c r="D1160" s="134" t="n">
        <x:v>3284</x:v>
      </x:c>
      <x:c r="E1160" s="133" t="n">
        <x:v>13</x:v>
      </x:c>
      <x:c r="F1160" s="134" t="n">
        <x:v>2795</x:v>
      </x:c>
      <x:c r="G1160" s="134" t="n">
        <x:v>0</x:v>
      </x:c>
      <x:c r="H1160" s="134" t="n">
        <x:v>297</x:v>
      </x:c>
      <x:c r="I1160" s="134" t="n">
        <x:v>252</x:v>
      </x:c>
      <x:c r="J1160" s="133" t="n">
        <x:v>9.043848964677222</x:v>
      </x:c>
      <x:c r="K1160" s="133" t="n">
        <x:v>9.016100178890877</x:v>
      </x:c>
      <x:c r="L1160" s="133" t="n">
        <x:v>8.980044345898005</x:v>
      </x:c>
      <x:c r="M1160" s="133" t="n">
        <x:v>8.904109589041095</x:v>
      </x:c>
      <x:c r="N1160" s="133" t="n">
        <x:v>9.090909090909092</x:v>
      </x:c>
      <x:c r="O1160" s="133" t="n">
        <x:v>8.571428571428571</x:v>
      </x:c>
      <x:c r="P1160" s="132"/>
    </x:row>
    <x:row r="1161">
      <x:c r="A1161" s="136" t="str">
        <x:v>01087232200</x:v>
      </x:c>
      <x:c r="B1161" s="132" t="str">
        <x:v>Macon County</x:v>
      </x:c>
      <x:c r="C1161" s="132" t="n">
        <x:v>0</x:v>
      </x:c>
      <x:c r="D1161" s="134" t="n">
        <x:v>1884</x:v>
      </x:c>
      <x:c r="E1161" s="133" t="n">
        <x:v>10.2</x:v>
      </x:c>
      <x:c r="F1161" s="134" t="n">
        <x:v>1188</x:v>
      </x:c>
      <x:c r="G1161" s="134" t="n">
        <x:v>0</x:v>
      </x:c>
      <x:c r="H1161" s="134" t="n">
        <x:v>402</x:v>
      </x:c>
      <x:c r="I1161" s="134" t="n">
        <x:v>254</x:v>
      </x:c>
      <x:c r="J1161" s="133" t="n">
        <x:v>21.337579617834393</x:v>
      </x:c>
      <x:c r="K1161" s="133" t="n">
        <x:v>21.38047138047138</x:v>
      </x:c>
      <x:c r="L1161" s="133" t="n">
        <x:v>21.367521367521366</x:v>
      </x:c>
      <x:c r="M1161" s="133" t="n">
        <x:v>21.354166666666668</x:v>
      </x:c>
      <x:c r="N1161" s="133" t="n">
        <x:v>20.930232558139537</x:v>
      </x:c>
      <x:c r="O1161" s="133" t="n">
        <x:v>21.296296296296298</x:v>
      </x:c>
      <x:c r="P1161" s="132"/>
    </x:row>
    <x:row r="1162">
      <x:c r="A1162" s="136" t="str">
        <x:v>01113030404</x:v>
      </x:c>
      <x:c r="B1162" s="132" t="str">
        <x:v>Russell County</x:v>
      </x:c>
      <x:c r="C1162" s="132" t="n">
        <x:v>1</x:v>
      </x:c>
      <x:c r="D1162" s="134" t="n">
        <x:v>2810</x:v>
      </x:c>
      <x:c r="E1162" s="133" t="n">
        <x:v>23.4</x:v>
      </x:c>
      <x:c r="F1162" s="134" t="n">
        <x:v>1477</x:v>
      </x:c>
      <x:c r="G1162" s="134" t="n">
        <x:v>0</x:v>
      </x:c>
      <x:c r="H1162" s="134" t="n">
        <x:v>486</x:v>
      </x:c>
      <x:c r="I1162" s="134" t="n">
        <x:v>255</x:v>
      </x:c>
      <x:c r="J1162" s="133" t="n">
        <x:v>17.295373665480426</x:v>
      </x:c>
      <x:c r="K1162" s="133" t="n">
        <x:v>17.264725795531483</x:v>
      </x:c>
      <x:c r="L1162" s="133" t="n">
        <x:v>17.350157728706623</x:v>
      </x:c>
      <x:c r="M1162" s="133" t="n">
        <x:v>17.201834862385322</x:v>
      </x:c>
      <x:c r="N1162" s="133" t="n">
        <x:v>16.666666666666668</x:v>
      </x:c>
      <x:c r="O1162" s="133" t="n">
        <x:v>17.36111111111111</x:v>
      </x:c>
      <x:c r="P1162" s="132"/>
    </x:row>
    <x:row r="1163">
      <x:c r="A1163" s="136" t="str">
        <x:v>01097006410</x:v>
      </x:c>
      <x:c r="B1163" s="132" t="str">
        <x:v>Mobile County</x:v>
      </x:c>
      <x:c r="C1163" s="132" t="n">
        <x:v>1</x:v>
      </x:c>
      <x:c r="D1163" s="134" t="n">
        <x:v>3663</x:v>
      </x:c>
      <x:c r="E1163" s="133" t="n">
        <x:v>14.2</x:v>
      </x:c>
      <x:c r="F1163" s="134" t="n">
        <x:v>2685</x:v>
      </x:c>
      <x:c r="G1163" s="134" t="n">
        <x:v>0</x:v>
      </x:c>
      <x:c r="H1163" s="134" t="n">
        <x:v>349</x:v>
      </x:c>
      <x:c r="I1163" s="134" t="n">
        <x:v>256</x:v>
      </x:c>
      <x:c r="J1163" s="133" t="n">
        <x:v>9.527709527709527</x:v>
      </x:c>
      <x:c r="K1163" s="133" t="n">
        <x:v>9.534450651769088</x:v>
      </x:c>
      <x:c r="L1163" s="133" t="n">
        <x:v>9.545983701979045</x:v>
      </x:c>
      <x:c r="M1163" s="133" t="n">
        <x:v>9.477124183006536</x:v>
      </x:c>
      <x:c r="N1163" s="133" t="n">
        <x:v>9.615384615384615</x:v>
      </x:c>
      <x:c r="O1163" s="133" t="n">
        <x:v>9.16030534351145</x:v>
      </x:c>
      <x:c r="P1163" s="132"/>
    </x:row>
    <x:row r="1164">
      <x:c r="A1164" s="136" t="str">
        <x:v>01025957601</x:v>
      </x:c>
      <x:c r="B1164" s="132" t="str">
        <x:v>Clarke County</x:v>
      </x:c>
      <x:c r="C1164" s="132" t="n">
        <x:v>0</x:v>
      </x:c>
      <x:c r="D1164" s="134" t="n">
        <x:v>934</x:v>
      </x:c>
      <x:c r="E1164" s="133" t="n">
        <x:v>16.9</x:v>
      </x:c>
      <x:c r="F1164" s="134" t="n">
        <x:v>582</x:v>
      </x:c>
      <x:c r="G1164" s="134" t="n">
        <x:v>0</x:v>
      </x:c>
      <x:c r="H1164" s="134" t="n">
        <x:v>412</x:v>
      </x:c>
      <x:c r="I1164" s="134" t="n">
        <x:v>257</x:v>
      </x:c>
      <x:c r="J1164" s="133" t="n">
        <x:v>44.11134903640257</x:v>
      </x:c>
      <x:c r="K1164" s="133" t="n">
        <x:v>44.15807560137457</x:v>
      </x:c>
      <x:c r="L1164" s="133" t="n">
        <x:v>44.21487603305785</x:v>
      </x:c>
      <x:c r="M1164" s="133" t="n">
        <x:v>43.82716049382716</x:v>
      </x:c>
      <x:c r="N1164" s="133" t="n">
        <x:v>45.833333333333336</x:v>
      </x:c>
      <x:c r="O1164" s="133" t="n">
        <x:v>43.75</x:v>
      </x:c>
      <x:c r="P1164" s="132"/>
    </x:row>
    <x:row r="1165">
      <x:c r="A1165" s="136" t="str">
        <x:v>01031011205</x:v>
      </x:c>
      <x:c r="B1165" s="132" t="str">
        <x:v>Coffee County</x:v>
      </x:c>
      <x:c r="C1165" s="132" t="n">
        <x:v>1</x:v>
      </x:c>
      <x:c r="D1165" s="134" t="n">
        <x:v>4206</x:v>
      </x:c>
      <x:c r="E1165" s="133" t="n">
        <x:v>8.9</x:v>
      </x:c>
      <x:c r="F1165" s="134" t="n">
        <x:v>2741</x:v>
      </x:c>
      <x:c r="G1165" s="134" t="n">
        <x:v>0</x:v>
      </x:c>
      <x:c r="H1165" s="134" t="n">
        <x:v>397</x:v>
      </x:c>
      <x:c r="I1165" s="134" t="n">
        <x:v>259</x:v>
      </x:c>
      <x:c r="J1165" s="133" t="n">
        <x:v>9.43889681407513</x:v>
      </x:c>
      <x:c r="K1165" s="133" t="n">
        <x:v>9.44910616563298</x:v>
      </x:c>
      <x:c r="L1165" s="133" t="n">
        <x:v>9.477124183006536</x:v>
      </x:c>
      <x:c r="M1165" s="133" t="n">
        <x:v>9.456264775413711</x:v>
      </x:c>
      <x:c r="N1165" s="133" t="n">
        <x:v>8.620689655172415</x:v>
      </x:c>
      <x:c r="O1165" s="133" t="n">
        <x:v>9.401709401709402</x:v>
      </x:c>
      <x:c r="P1165" s="132"/>
    </x:row>
    <x:row r="1166">
      <x:c r="A1166" s="136" t="str">
        <x:v>01039962900</x:v>
      </x:c>
      <x:c r="B1166" s="132" t="str">
        <x:v>Covington County</x:v>
      </x:c>
      <x:c r="C1166" s="132" t="n">
        <x:v>0</x:v>
      </x:c>
      <x:c r="D1166" s="134" t="n">
        <x:v>1830</x:v>
      </x:c>
      <x:c r="E1166" s="133" t="n">
        <x:v>10.2</x:v>
      </x:c>
      <x:c r="F1166" s="134" t="n">
        <x:v>1279</x:v>
      </x:c>
      <x:c r="G1166" s="134" t="n">
        <x:v>0</x:v>
      </x:c>
      <x:c r="H1166" s="134" t="n">
        <x:v>380</x:v>
      </x:c>
      <x:c r="I1166" s="134" t="n">
        <x:v>265</x:v>
      </x:c>
      <x:c r="J1166" s="133" t="n">
        <x:v>20.76502732240437</x:v>
      </x:c>
      <x:c r="K1166" s="133" t="n">
        <x:v>20.71931196247068</x:v>
      </x:c>
      <x:c r="L1166" s="133" t="n">
        <x:v>20.80200501253133</x:v>
      </x:c>
      <x:c r="M1166" s="133" t="n">
        <x:v>20.789473684210527</x:v>
      </x:c>
      <x:c r="N1166" s="133" t="n">
        <x:v>20</x:v>
      </x:c>
      <x:c r="O1166" s="133" t="n">
        <x:v>20.43010752688172</x:v>
      </x:c>
      <x:c r="P1166" s="132"/>
    </x:row>
    <x:row r="1167">
      <x:c r="A1167" s="136" t="str">
        <x:v>01073010704</x:v>
      </x:c>
      <x:c r="B1167" s="132" t="str">
        <x:v>Jefferson County</x:v>
      </x:c>
      <x:c r="C1167" s="132" t="n">
        <x:v>1</x:v>
      </x:c>
      <x:c r="D1167" s="134" t="n">
        <x:v>5279</x:v>
      </x:c>
      <x:c r="E1167" s="133" t="n">
        <x:v>7.9</x:v>
      </x:c>
      <x:c r="F1167" s="134" t="n">
        <x:v>2599</x:v>
      </x:c>
      <x:c r="G1167" s="134" t="n">
        <x:v>0</x:v>
      </x:c>
      <x:c r="H1167" s="134" t="n">
        <x:v>537</x:v>
      </x:c>
      <x:c r="I1167" s="134" t="n">
        <x:v>265</x:v>
      </x:c>
      <x:c r="J1167" s="133" t="n">
        <x:v>10.172381132790301</x:v>
      </x:c>
      <x:c r="K1167" s="133" t="n">
        <x:v>10.196229318968834</x:v>
      </x:c>
      <x:c r="L1167" s="133" t="n">
        <x:v>10.126582278481013</x:v>
      </x:c>
      <x:c r="M1167" s="133" t="n">
        <x:v>10.179640718562874</x:v>
      </x:c>
      <x:c r="N1167" s="133" t="n">
        <x:v>9.75609756097561</x:v>
      </x:c>
      <x:c r="O1167" s="133" t="n">
        <x:v>10.434782608695652</x:v>
      </x:c>
      <x:c r="P1167" s="132"/>
    </x:row>
    <x:row r="1168">
      <x:c r="A1168" s="136" t="str">
        <x:v>01077011300</x:v>
      </x:c>
      <x:c r="B1168" s="132" t="str">
        <x:v>Lauderdale County</x:v>
      </x:c>
      <x:c r="C1168" s="132" t="n">
        <x:v>0</x:v>
      </x:c>
      <x:c r="D1168" s="134" t="n">
        <x:v>2190</x:v>
      </x:c>
      <x:c r="E1168" s="133" t="n">
        <x:v>6</x:v>
      </x:c>
      <x:c r="F1168" s="134" t="n">
        <x:v>1445</x:v>
      </x:c>
      <x:c r="G1168" s="134" t="n">
        <x:v>0</x:v>
      </x:c>
      <x:c r="H1168" s="134" t="n">
        <x:v>402</x:v>
      </x:c>
      <x:c r="I1168" s="134" t="n">
        <x:v>265</x:v>
      </x:c>
      <x:c r="J1168" s="133" t="n">
        <x:v>18.356164383561644</x:v>
      </x:c>
      <x:c r="K1168" s="133" t="n">
        <x:v>18.33910034602076</x:v>
      </x:c>
      <x:c r="L1168" s="133" t="n">
        <x:v>18.37160751565762</x:v>
      </x:c>
      <x:c r="M1168" s="133" t="n">
        <x:v>18.295739348370926</x:v>
      </x:c>
      <x:c r="N1168" s="133" t="n">
        <x:v>15.789473684210526</x:v>
      </x:c>
      <x:c r="O1168" s="133" t="n">
        <x:v>18.75</x:v>
      </x:c>
      <x:c r="P1168" s="132"/>
    </x:row>
    <x:row r="1169">
      <x:c r="A1169" s="136" t="str">
        <x:v>01025957800</x:v>
      </x:c>
      <x:c r="B1169" s="132" t="str">
        <x:v>Clarke County</x:v>
      </x:c>
      <x:c r="C1169" s="132" t="n">
        <x:v>0</x:v>
      </x:c>
      <x:c r="D1169" s="134" t="n">
        <x:v>4865</x:v>
      </x:c>
      <x:c r="E1169" s="133" t="n">
        <x:v>17.8</x:v>
      </x:c>
      <x:c r="F1169" s="134" t="n">
        <x:v>2786</x:v>
      </x:c>
      <x:c r="G1169" s="134" t="n">
        <x:v>0</x:v>
      </x:c>
      <x:c r="H1169" s="134" t="n">
        <x:v>468</x:v>
      </x:c>
      <x:c r="I1169" s="134" t="n">
        <x:v>268</x:v>
      </x:c>
      <x:c r="J1169" s="133" t="n">
        <x:v>9.61973278520041</x:v>
      </x:c>
      <x:c r="K1169" s="133" t="n">
        <x:v>9.619526202440776</x:v>
      </x:c>
      <x:c r="L1169" s="133" t="n">
        <x:v>9.630350194552529</x:v>
      </x:c>
      <x:c r="M1169" s="133" t="n">
        <x:v>9.631147540983607</x:v>
      </x:c>
      <x:c r="N1169" s="133" t="n">
        <x:v>9.615384615384615</x:v>
      </x:c>
      <x:c r="O1169" s="133" t="n">
        <x:v>9.53757225433526</x:v>
      </x:c>
      <x:c r="P1169" s="132"/>
    </x:row>
    <x:row r="1170">
      <x:c r="A1170" s="136" t="str">
        <x:v>01073005104</x:v>
      </x:c>
      <x:c r="B1170" s="132" t="str">
        <x:v>Jefferson County</x:v>
      </x:c>
      <x:c r="C1170" s="132" t="n">
        <x:v>1</x:v>
      </x:c>
      <x:c r="D1170" s="134" t="n">
        <x:v>2435</x:v>
      </x:c>
      <x:c r="E1170" s="133" t="n">
        <x:v>21</x:v>
      </x:c>
      <x:c r="F1170" s="134" t="n">
        <x:v>1853</x:v>
      </x:c>
      <x:c r="G1170" s="134" t="n">
        <x:v>0</x:v>
      </x:c>
      <x:c r="H1170" s="134" t="n">
        <x:v>353</x:v>
      </x:c>
      <x:c r="I1170" s="134" t="n">
        <x:v>269</x:v>
      </x:c>
      <x:c r="J1170" s="133" t="n">
        <x:v>14.496919917864476</x:v>
      </x:c>
      <x:c r="K1170" s="133" t="n">
        <x:v>14.516999460334592</x:v>
      </x:c>
      <x:c r="L1170" s="133" t="n">
        <x:v>14.615384615384615</x:v>
      </x:c>
      <x:c r="M1170" s="133" t="n">
        <x:v>14.418604651162791</x:v>
      </x:c>
      <x:c r="N1170" s="133" t="n">
        <x:v>14.666666666666666</x:v>
      </x:c>
      <x:c r="O1170" s="133" t="n">
        <x:v>14.17910447761194</x:v>
      </x:c>
      <x:c r="P1170" s="132"/>
    </x:row>
    <x:row r="1171">
      <x:c r="A1171" s="136" t="str">
        <x:v>01073011003</x:v>
      </x:c>
      <x:c r="B1171" s="132" t="str">
        <x:v>Jefferson County</x:v>
      </x:c>
      <x:c r="C1171" s="132" t="n">
        <x:v>1</x:v>
      </x:c>
      <x:c r="D1171" s="134" t="n">
        <x:v>2194</x:v>
      </x:c>
      <x:c r="E1171" s="133" t="n">
        <x:v>23.9</x:v>
      </x:c>
      <x:c r="F1171" s="134" t="n">
        <x:v>1341</x:v>
      </x:c>
      <x:c r="G1171" s="134" t="n">
        <x:v>0</x:v>
      </x:c>
      <x:c r="H1171" s="134" t="n">
        <x:v>444</x:v>
      </x:c>
      <x:c r="I1171" s="134" t="n">
        <x:v>271</x:v>
      </x:c>
      <x:c r="J1171" s="133" t="n">
        <x:v>20.23701002734731</x:v>
      </x:c>
      <x:c r="K1171" s="133" t="n">
        <x:v>20.208799403430277</x:v>
      </x:c>
      <x:c r="L1171" s="133" t="n">
        <x:v>20.2</x:v>
      </x:c>
      <x:c r="M1171" s="133" t="n">
        <x:v>20.118343195266274</x:v>
      </x:c>
      <x:c r="N1171" s="133" t="n">
        <x:v>21.21212121212121</x:v>
      </x:c>
      <x:c r="O1171" s="133" t="n">
        <x:v>20.26143790849673</x:v>
      </x:c>
      <x:c r="P1171" s="132"/>
    </x:row>
    <x:row r="1172">
      <x:c r="A1172" s="136" t="str">
        <x:v>01055010401</x:v>
      </x:c>
      <x:c r="B1172" s="132" t="str">
        <x:v>Etowah County</x:v>
      </x:c>
      <x:c r="C1172" s="132" t="n">
        <x:v>1</x:v>
      </x:c>
      <x:c r="D1172" s="134" t="n">
        <x:v>3452</x:v>
      </x:c>
      <x:c r="E1172" s="133" t="n">
        <x:v>11.7</x:v>
      </x:c>
      <x:c r="F1172" s="134" t="n">
        <x:v>2648</x:v>
      </x:c>
      <x:c r="G1172" s="134" t="n">
        <x:v>0</x:v>
      </x:c>
      <x:c r="H1172" s="134" t="n">
        <x:v>358</x:v>
      </x:c>
      <x:c r="I1172" s="134" t="n">
        <x:v>275</x:v>
      </x:c>
      <x:c r="J1172" s="133" t="n">
        <x:v>10.370799536500579</x:v>
      </x:c>
      <x:c r="K1172" s="133" t="n">
        <x:v>10.385196374622357</x:v>
      </x:c>
      <x:c r="L1172" s="133" t="n">
        <x:v>10.39119804400978</x:v>
      </x:c>
      <x:c r="M1172" s="133" t="n">
        <x:v>10.318949343339588</x:v>
      </x:c>
      <x:c r="N1172" s="133" t="n">
        <x:v>10</x:v>
      </x:c>
      <x:c r="O1172" s="133" t="n">
        <x:v>10.386965376782078</x:v>
      </x:c>
      <x:c r="P1172" s="132"/>
    </x:row>
    <x:row r="1173">
      <x:c r="A1173" s="136" t="str">
        <x:v>01097003501</x:v>
      </x:c>
      <x:c r="B1173" s="132" t="str">
        <x:v>Mobile County</x:v>
      </x:c>
      <x:c r="C1173" s="132" t="n">
        <x:v>1</x:v>
      </x:c>
      <x:c r="D1173" s="134" t="n">
        <x:v>3660</x:v>
      </x:c>
      <x:c r="E1173" s="133" t="n">
        <x:v>12.1</x:v>
      </x:c>
      <x:c r="F1173" s="134" t="n">
        <x:v>2567</x:v>
      </x:c>
      <x:c r="G1173" s="134" t="n">
        <x:v>0</x:v>
      </x:c>
      <x:c r="H1173" s="134" t="n">
        <x:v>403</x:v>
      </x:c>
      <x:c r="I1173" s="134" t="n">
        <x:v>283</x:v>
      </x:c>
      <x:c r="J1173" s="133" t="n">
        <x:v>11.010928961748634</x:v>
      </x:c>
      <x:c r="K1173" s="133" t="n">
        <x:v>11.02454226723802</x:v>
      </x:c>
      <x:c r="L1173" s="133" t="n">
        <x:v>11.035267349260524</x:v>
      </x:c>
      <x:c r="M1173" s="133" t="n">
        <x:v>11.074918566775244</x:v>
      </x:c>
      <x:c r="N1173" s="133" t="n">
        <x:v>14.285714285714286</x:v>
      </x:c>
      <x:c r="O1173" s="133" t="n">
        <x:v>11.764705882352942</x:v>
      </x:c>
      <x:c r="P1173" s="132"/>
    </x:row>
    <x:row r="1174">
      <x:c r="A1174" s="136" t="str">
        <x:v>01081040202</x:v>
      </x:c>
      <x:c r="B1174" s="132" t="str">
        <x:v>Lee County</x:v>
      </x:c>
      <x:c r="C1174" s="132" t="n">
        <x:v>1</x:v>
      </x:c>
      <x:c r="D1174" s="134" t="n">
        <x:v>3084</x:v>
      </x:c>
      <x:c r="E1174" s="133" t="n">
        <x:v>21.6</x:v>
      </x:c>
      <x:c r="F1174" s="134" t="n">
        <x:v>2051</x:v>
      </x:c>
      <x:c r="G1174" s="134" t="n">
        <x:v>0</x:v>
      </x:c>
      <x:c r="H1174" s="134" t="n">
        <x:v>431</x:v>
      </x:c>
      <x:c r="I1174" s="134" t="n">
        <x:v>287</x:v>
      </x:c>
      <x:c r="J1174" s="133" t="n">
        <x:v>13.975356679636835</x:v>
      </x:c>
      <x:c r="K1174" s="133" t="n">
        <x:v>13.993174061433447</x:v>
      </x:c>
      <x:c r="L1174" s="133" t="n">
        <x:v>13.92</x:v>
      </x:c>
      <x:c r="M1174" s="133" t="n">
        <x:v>14.035087719298245</x:v>
      </x:c>
      <x:c r="N1174" s="133" t="n">
        <x:v>13.636363636363637</x:v>
      </x:c>
      <x:c r="O1174" s="133" t="n">
        <x:v>13.709677419354838</x:v>
      </x:c>
      <x:c r="P1174" s="132"/>
    </x:row>
    <x:row r="1175">
      <x:c r="A1175" s="136" t="str">
        <x:v>01073005600</x:v>
      </x:c>
      <x:c r="B1175" s="132" t="str">
        <x:v>Jefferson County</x:v>
      </x:c>
      <x:c r="C1175" s="132" t="n">
        <x:v>1</x:v>
      </x:c>
      <x:c r="D1175" s="134" t="n">
        <x:v>5053</x:v>
      </x:c>
      <x:c r="E1175" s="133" t="n">
        <x:v>13</x:v>
      </x:c>
      <x:c r="F1175" s="134" t="n">
        <x:v>2837</x:v>
      </x:c>
      <x:c r="G1175" s="134" t="n">
        <x:v>0</x:v>
      </x:c>
      <x:c r="H1175" s="134" t="n">
        <x:v>514</x:v>
      </x:c>
      <x:c r="I1175" s="134" t="n">
        <x:v>289</x:v>
      </x:c>
      <x:c r="J1175" s="133" t="n">
        <x:v>10.172174945576884</x:v>
      </x:c>
      <x:c r="K1175" s="133" t="n">
        <x:v>10.186817060274938</x:v>
      </x:c>
      <x:c r="L1175" s="133" t="n">
        <x:v>10.135135135135135</x:v>
      </x:c>
      <x:c r="M1175" s="133" t="n">
        <x:v>10.209003215434084</x:v>
      </x:c>
      <x:c r="N1175" s="133" t="n">
        <x:v>8.695652173913043</x:v>
      </x:c>
      <x:c r="O1175" s="133" t="n">
        <x:v>9.859154929577464</x:v>
      </x:c>
      <x:c r="P1175" s="132"/>
    </x:row>
    <x:row r="1176">
      <x:c r="A1176" s="136" t="str">
        <x:v>01101001900</x:v>
      </x:c>
      <x:c r="B1176" s="132" t="str">
        <x:v>Montgomery County</x:v>
      </x:c>
      <x:c r="C1176" s="132" t="n">
        <x:v>1</x:v>
      </x:c>
      <x:c r="D1176" s="134" t="n">
        <x:v>3110</x:v>
      </x:c>
      <x:c r="E1176" s="133" t="n">
        <x:v>16.3</x:v>
      </x:c>
      <x:c r="F1176" s="134" t="n">
        <x:v>1935</x:v>
      </x:c>
      <x:c r="G1176" s="134" t="n">
        <x:v>0</x:v>
      </x:c>
      <x:c r="H1176" s="134" t="n">
        <x:v>470</x:v>
      </x:c>
      <x:c r="I1176" s="134" t="n">
        <x:v>293</x:v>
      </x:c>
      <x:c r="J1176" s="133" t="n">
        <x:v>15.112540192926046</x:v>
      </x:c>
      <x:c r="K1176" s="133" t="n">
        <x:v>15.142118863049095</x:v>
      </x:c>
      <x:c r="L1176" s="133" t="n">
        <x:v>15.045592705167174</x:v>
      </x:c>
      <x:c r="M1176" s="133" t="n">
        <x:v>15.112994350282486</x:v>
      </x:c>
      <x:c r="N1176" s="133" t="n">
        <x:v>14.864864864864865</x:v>
      </x:c>
      <x:c r="O1176" s="133" t="n">
        <x:v>14.705882352941176</x:v>
      </x:c>
      <x:c r="P1176" s="132"/>
    </x:row>
    <x:row r="1177">
      <x:c r="A1177" s="136" t="str">
        <x:v>01081041102</x:v>
      </x:c>
      <x:c r="B1177" s="132" t="str">
        <x:v>Lee County</x:v>
      </x:c>
      <x:c r="C1177" s="132" t="n">
        <x:v>1</x:v>
      </x:c>
      <x:c r="D1177" s="134" t="n">
        <x:v>4000</x:v>
      </x:c>
      <x:c r="E1177" s="133" t="n">
        <x:v>13.8</x:v>
      </x:c>
      <x:c r="F1177" s="134" t="n">
        <x:v>2237</x:v>
      </x:c>
      <x:c r="G1177" s="134" t="n">
        <x:v>0</x:v>
      </x:c>
      <x:c r="H1177" s="134" t="n">
        <x:v>529</x:v>
      </x:c>
      <x:c r="I1177" s="134" t="n">
        <x:v>296</x:v>
      </x:c>
      <x:c r="J1177" s="133" t="n">
        <x:v>13.225</x:v>
      </x:c>
      <x:c r="K1177" s="133" t="n">
        <x:v>13.2320071524363</x:v>
      </x:c>
      <x:c r="L1177" s="133" t="n">
        <x:v>13.184357541899441</x:v>
      </x:c>
      <x:c r="M1177" s="133" t="n">
        <x:v>13.15028901734104</x:v>
      </x:c>
      <x:c r="N1177" s="133" t="n">
        <x:v>13.2</x:v>
      </x:c>
      <x:c r="O1177" s="133" t="n">
        <x:v>13.245033112582782</x:v>
      </x:c>
      <x:c r="P1177" s="132"/>
    </x:row>
    <x:row r="1178">
      <x:c r="A1178" s="136" t="str">
        <x:v>01089011028</x:v>
      </x:c>
      <x:c r="B1178" s="132" t="str">
        <x:v>Madison County</x:v>
      </x:c>
      <x:c r="C1178" s="132" t="n">
        <x:v>1</x:v>
      </x:c>
      <x:c r="D1178" s="134" t="n">
        <x:v>4073</x:v>
      </x:c>
      <x:c r="E1178" s="133" t="n">
        <x:v>8.9</x:v>
      </x:c>
      <x:c r="F1178" s="134" t="n">
        <x:v>3171</x:v>
      </x:c>
      <x:c r="G1178" s="134" t="n">
        <x:v>0</x:v>
      </x:c>
      <x:c r="H1178" s="134" t="n">
        <x:v>390</x:v>
      </x:c>
      <x:c r="I1178" s="134" t="n">
        <x:v>304</x:v>
      </x:c>
      <x:c r="J1178" s="133" t="n">
        <x:v>9.575251657255095</x:v>
      </x:c>
      <x:c r="K1178" s="133" t="n">
        <x:v>9.586881110059918</x:v>
      </x:c>
      <x:c r="L1178" s="133" t="n">
        <x:v>9.559613319011815</x:v>
      </x:c>
      <x:c r="M1178" s="133" t="n">
        <x:v>9.502262443438914</x:v>
      </x:c>
      <x:c r="N1178" s="133" t="n">
        <x:v>9.45945945945946</x:v>
      </x:c>
      <x:c r="O1178" s="133" t="n">
        <x:v>9.540636042402827</x:v>
      </x:c>
      <x:c r="P1178" s="132"/>
    </x:row>
    <x:row r="1179">
      <x:c r="A1179" s="136" t="str">
        <x:v>01097005400</x:v>
      </x:c>
      <x:c r="B1179" s="132" t="str">
        <x:v>Mobile County</x:v>
      </x:c>
      <x:c r="C1179" s="132" t="n">
        <x:v>1</x:v>
      </x:c>
      <x:c r="D1179" s="134" t="n">
        <x:v>4733</x:v>
      </x:c>
      <x:c r="E1179" s="133" t="n">
        <x:v>5.9</x:v>
      </x:c>
      <x:c r="F1179" s="134" t="n">
        <x:v>2549</x:v>
      </x:c>
      <x:c r="G1179" s="134" t="n">
        <x:v>0</x:v>
      </x:c>
      <x:c r="H1179" s="134" t="n">
        <x:v>568</x:v>
      </x:c>
      <x:c r="I1179" s="134" t="n">
        <x:v>306</x:v>
      </x:c>
      <x:c r="J1179" s="133" t="n">
        <x:v>12.000845129938728</x:v>
      </x:c>
      <x:c r="K1179" s="133" t="n">
        <x:v>12.004707728520989</x:v>
      </x:c>
      <x:c r="L1179" s="133" t="n">
        <x:v>11.986001749781277</x:v>
      </x:c>
      <x:c r="M1179" s="133" t="n">
        <x:v>12.068965517241379</x:v>
      </x:c>
      <x:c r="N1179" s="133" t="n">
        <x:v>11.764705882352942</x:v>
      </x:c>
      <x:c r="O1179" s="133" t="n">
        <x:v>11.702127659574469</x:v>
      </x:c>
      <x:c r="P1179" s="132"/>
    </x:row>
    <x:row r="1180">
      <x:c r="A1180" s="136" t="str">
        <x:v>01103005103</x:v>
      </x:c>
      <x:c r="B1180" s="132" t="str">
        <x:v>Morgan County</x:v>
      </x:c>
      <x:c r="C1180" s="132" t="n">
        <x:v>1</x:v>
      </x:c>
      <x:c r="D1180" s="134" t="n">
        <x:v>854</x:v>
      </x:c>
      <x:c r="E1180" s="133" t="n">
        <x:v>7.3</x:v>
      </x:c>
      <x:c r="F1180" s="134" t="n">
        <x:v>637</x:v>
      </x:c>
      <x:c r="G1180" s="134" t="n">
        <x:v>0</x:v>
      </x:c>
      <x:c r="H1180" s="134" t="n">
        <x:v>413</x:v>
      </x:c>
      <x:c r="I1180" s="134" t="n">
        <x:v>308</x:v>
      </x:c>
      <x:c r="J1180" s="133" t="n">
        <x:v>48.36065573770492</x:v>
      </x:c>
      <x:c r="K1180" s="133" t="n">
        <x:v>48.35164835164835</x:v>
      </x:c>
      <x:c r="L1180" s="133" t="n">
        <x:v>48.663101604278076</x:v>
      </x:c>
      <x:c r="M1180" s="133" t="n">
        <x:v>48.19277108433735</x:v>
      </x:c>
      <x:c r="N1180" s="133"/>
      <x:c r="O1180" s="133" t="n">
        <x:v>44.44444444444444</x:v>
      </x:c>
      <x:c r="P1180" s="132"/>
    </x:row>
    <x:row r="1181">
      <x:c r="A1181" s="136" t="str">
        <x:v>01125010102</x:v>
      </x:c>
      <x:c r="B1181" s="132" t="str">
        <x:v>Tuscaloosa County</x:v>
      </x:c>
      <x:c r="C1181" s="132" t="n">
        <x:v>0</x:v>
      </x:c>
      <x:c r="D1181" s="134" t="n">
        <x:v>3865</x:v>
      </x:c>
      <x:c r="E1181" s="133" t="n">
        <x:v>5.4</x:v>
      </x:c>
      <x:c r="F1181" s="134" t="n">
        <x:v>2658</x:v>
      </x:c>
      <x:c r="G1181" s="134" t="n">
        <x:v>0</x:v>
      </x:c>
      <x:c r="H1181" s="134" t="n">
        <x:v>448</x:v>
      </x:c>
      <x:c r="I1181" s="134" t="n">
        <x:v>308</x:v>
      </x:c>
      <x:c r="J1181" s="133" t="n">
        <x:v>11.591203104786546</x:v>
      </x:c>
      <x:c r="K1181" s="133" t="n">
        <x:v>11.587659894657637</x:v>
      </x:c>
      <x:c r="L1181" s="133" t="n">
        <x:v>11.553273427471117</x:v>
      </x:c>
      <x:c r="M1181" s="133" t="n">
        <x:v>11.618798955613578</x:v>
      </x:c>
      <x:c r="N1181" s="133" t="n">
        <x:v>12.5</x:v>
      </x:c>
      <x:c r="O1181" s="133" t="n">
        <x:v>11.764705882352942</x:v>
      </x:c>
      <x:c r="P1181" s="132"/>
    </x:row>
    <x:row r="1182">
      <x:c r="A1182" s="136" t="str">
        <x:v>01101000900</x:v>
      </x:c>
      <x:c r="B1182" s="132" t="str">
        <x:v>Montgomery County</x:v>
      </x:c>
      <x:c r="C1182" s="132" t="n">
        <x:v>1</x:v>
      </x:c>
      <x:c r="D1182" s="134" t="n">
        <x:v>2133</x:v>
      </x:c>
      <x:c r="E1182" s="133" t="n">
        <x:v>4</x:v>
      </x:c>
      <x:c r="F1182" s="134" t="n">
        <x:v>758</x:v>
      </x:c>
      <x:c r="G1182" s="134" t="n">
        <x:v>0</x:v>
      </x:c>
      <x:c r="H1182" s="134" t="n">
        <x:v>881</x:v>
      </x:c>
      <x:c r="I1182" s="134" t="n">
        <x:v>313</x:v>
      </x:c>
      <x:c r="J1182" s="133" t="n">
        <x:v>41.3033286451008</x:v>
      </x:c>
      <x:c r="K1182" s="133" t="n">
        <x:v>41.29287598944591</x:v>
      </x:c>
      <x:c r="L1182" s="133" t="n">
        <x:v>41.326530612244895</x:v>
      </x:c>
      <x:c r="M1182" s="133" t="n">
        <x:v>42.10526315789474</x:v>
      </x:c>
      <x:c r="N1182" s="133" t="n">
        <x:v>50</x:v>
      </x:c>
      <x:c r="O1182" s="133" t="n">
        <x:v>33.333333333333336</x:v>
      </x:c>
      <x:c r="P1182" s="132"/>
    </x:row>
    <x:row r="1183">
      <x:c r="A1183" s="136" t="str">
        <x:v>01005950100</x:v>
      </x:c>
      <x:c r="B1183" s="132" t="str">
        <x:v>Barbour County</x:v>
      </x:c>
      <x:c r="C1183" s="132" t="n">
        <x:v>0</x:v>
      </x:c>
      <x:c r="D1183" s="134" t="n">
        <x:v>3126</x:v>
      </x:c>
      <x:c r="E1183" s="133" t="n">
        <x:v>12.9</x:v>
      </x:c>
      <x:c r="F1183" s="134" t="n">
        <x:v>1876</x:v>
      </x:c>
      <x:c r="G1183" s="134" t="n">
        <x:v>0</x:v>
      </x:c>
      <x:c r="H1183" s="134" t="n">
        <x:v>530</x:v>
      </x:c>
      <x:c r="I1183" s="134" t="n">
        <x:v>318</x:v>
      </x:c>
      <x:c r="J1183" s="133" t="n">
        <x:v>16.95457453614843</x:v>
      </x:c>
      <x:c r="K1183" s="133" t="n">
        <x:v>16.95095948827292</x:v>
      </x:c>
      <x:c r="L1183" s="133" t="n">
        <x:v>16.95447409733124</x:v>
      </x:c>
      <x:c r="M1183" s="133" t="n">
        <x:v>16.95364238410596</x:v>
      </x:c>
      <x:c r="N1183" s="133" t="n">
        <x:v>16.949152542372882</x:v>
      </x:c>
      <x:c r="O1183" s="133" t="n">
        <x:v>16.736401673640167</x:v>
      </x:c>
      <x:c r="P1183" s="132"/>
    </x:row>
    <x:row r="1184">
      <x:c r="A1184" s="136" t="str">
        <x:v>01035960200</x:v>
      </x:c>
      <x:c r="B1184" s="132" t="str">
        <x:v>Conecuh County</x:v>
      </x:c>
      <x:c r="C1184" s="132" t="n">
        <x:v>0</x:v>
      </x:c>
      <x:c r="D1184" s="134" t="n">
        <x:v>1472</x:v>
      </x:c>
      <x:c r="E1184" s="133" t="n">
        <x:v>18.4</x:v>
      </x:c>
      <x:c r="F1184" s="134" t="n">
        <x:v>778</x:v>
      </x:c>
      <x:c r="G1184" s="134" t="n">
        <x:v>0</x:v>
      </x:c>
      <x:c r="H1184" s="134" t="n">
        <x:v>617</x:v>
      </x:c>
      <x:c r="I1184" s="134" t="n">
        <x:v>326</x:v>
      </x:c>
      <x:c r="J1184" s="133" t="n">
        <x:v>41.91576086956522</x:v>
      </x:c>
      <x:c r="K1184" s="133" t="n">
        <x:v>41.90231362467866</x:v>
      </x:c>
      <x:c r="L1184" s="133" t="n">
        <x:v>42.05298013245033</x:v>
      </x:c>
      <x:c r="M1184" s="133" t="n">
        <x:v>41.76470588235294</x:v>
      </x:c>
      <x:c r="N1184" s="133" t="n">
        <x:v>40</x:v>
      </x:c>
      <x:c r="O1184" s="133" t="n">
        <x:v>42.5</x:v>
      </x:c>
      <x:c r="P1184" s="132"/>
    </x:row>
    <x:row r="1185">
      <x:c r="A1185" s="136" t="str">
        <x:v>01125012101</x:v>
      </x:c>
      <x:c r="B1185" s="132" t="str">
        <x:v>Tuscaloosa County</x:v>
      </x:c>
      <x:c r="C1185" s="132" t="n">
        <x:v>1</x:v>
      </x:c>
      <x:c r="D1185" s="134" t="n">
        <x:v>3564</x:v>
      </x:c>
      <x:c r="E1185" s="133" t="n">
        <x:v>25.8</x:v>
      </x:c>
      <x:c r="F1185" s="134" t="n">
        <x:v>2349</x:v>
      </x:c>
      <x:c r="G1185" s="134" t="n">
        <x:v>0</x:v>
      </x:c>
      <x:c r="H1185" s="134" t="n">
        <x:v>498</x:v>
      </x:c>
      <x:c r="I1185" s="134" t="n">
        <x:v>328</x:v>
      </x:c>
      <x:c r="J1185" s="133" t="n">
        <x:v>13.973063973063972</x:v>
      </x:c>
      <x:c r="K1185" s="133" t="n">
        <x:v>13.963388676032354</x:v>
      </x:c>
      <x:c r="L1185" s="133" t="n">
        <x:v>13.92156862745098</x:v>
      </x:c>
      <x:c r="M1185" s="133" t="n">
        <x:v>13.838120104438643</x:v>
      </x:c>
      <x:c r="N1185" s="133" t="n">
        <x:v>11.11111111111111</x:v>
      </x:c>
      <x:c r="O1185" s="133" t="n">
        <x:v>13.915857605177994</x:v>
      </x:c>
      <x:c r="P1185" s="132"/>
    </x:row>
    <x:row r="1186">
      <x:c r="A1186" s="136" t="str">
        <x:v>01125012504</x:v>
      </x:c>
      <x:c r="B1186" s="132" t="str">
        <x:v>Tuscaloosa County</x:v>
      </x:c>
      <x:c r="C1186" s="132" t="n">
        <x:v>1</x:v>
      </x:c>
      <x:c r="D1186" s="134" t="n">
        <x:v>3558</x:v>
      </x:c>
      <x:c r="E1186" s="133" t="n">
        <x:v>5</x:v>
      </x:c>
      <x:c r="F1186" s="134" t="n">
        <x:v>2970</x:v>
      </x:c>
      <x:c r="G1186" s="134" t="n">
        <x:v>0</x:v>
      </x:c>
      <x:c r="H1186" s="134" t="n">
        <x:v>395</x:v>
      </x:c>
      <x:c r="I1186" s="134" t="n">
        <x:v>330</x:v>
      </x:c>
      <x:c r="J1186" s="133" t="n">
        <x:v>11.101742551995503</x:v>
      </x:c>
      <x:c r="K1186" s="133" t="n">
        <x:v>11.11111111111111</x:v>
      </x:c>
      <x:c r="L1186" s="133" t="n">
        <x:v>11.121583411875589</x:v>
      </x:c>
      <x:c r="M1186" s="133" t="n">
        <x:v>11.11111111111111</x:v>
      </x:c>
      <x:c r="N1186" s="133" t="n">
        <x:v>14.285714285714286</x:v>
      </x:c>
      <x:c r="O1186" s="133" t="n">
        <x:v>10.95890410958904</x:v>
      </x:c>
      <x:c r="P1186" s="132"/>
    </x:row>
    <x:row r="1187">
      <x:c r="A1187" s="136" t="str">
        <x:v>01129044300</x:v>
      </x:c>
      <x:c r="B1187" s="132" t="str">
        <x:v>Washington County</x:v>
      </x:c>
      <x:c r="C1187" s="132" t="n">
        <x:v>0</x:v>
      </x:c>
      <x:c r="D1187" s="134" t="n">
        <x:v>2450</x:v>
      </x:c>
      <x:c r="E1187" s="133" t="n">
        <x:v>19.8</x:v>
      </x:c>
      <x:c r="F1187" s="134" t="n">
        <x:v>1170</x:v>
      </x:c>
      <x:c r="G1187" s="134" t="n">
        <x:v>0</x:v>
      </x:c>
      <x:c r="H1187" s="134" t="n">
        <x:v>692</x:v>
      </x:c>
      <x:c r="I1187" s="134" t="n">
        <x:v>330</x:v>
      </x:c>
      <x:c r="J1187" s="133" t="n">
        <x:v>28.244897959183675</x:v>
      </x:c>
      <x:c r="K1187" s="133" t="n">
        <x:v>28.205128205128204</x:v>
      </x:c>
      <x:c r="L1187" s="133" t="n">
        <x:v>28.308823529411764</x:v>
      </x:c>
      <x:c r="M1187" s="133" t="n">
        <x:v>28.286852589641434</x:v>
      </x:c>
      <x:c r="N1187" s="133" t="n">
        <x:v>26.666666666666668</x:v>
      </x:c>
      <x:c r="O1187" s="133" t="n">
        <x:v>28.155339805825243</x:v>
      </x:c>
      <x:c r="P1187" s="132"/>
    </x:row>
    <x:row r="1188">
      <x:c r="A1188" s="136" t="str">
        <x:v>01097003705</x:v>
      </x:c>
      <x:c r="B1188" s="132" t="str">
        <x:v>Mobile County</x:v>
      </x:c>
      <x:c r="C1188" s="132" t="n">
        <x:v>1</x:v>
      </x:c>
      <x:c r="D1188" s="134" t="n">
        <x:v>4343</x:v>
      </x:c>
      <x:c r="E1188" s="133" t="n">
        <x:v>10.6</x:v>
      </x:c>
      <x:c r="F1188" s="134" t="n">
        <x:v>3266</x:v>
      </x:c>
      <x:c r="G1188" s="134" t="n">
        <x:v>0</x:v>
      </x:c>
      <x:c r="H1188" s="134" t="n">
        <x:v>458</x:v>
      </x:c>
      <x:c r="I1188" s="134" t="n">
        <x:v>344</x:v>
      </x:c>
      <x:c r="J1188" s="133" t="n">
        <x:v>10.545705733364034</x:v>
      </x:c>
      <x:c r="K1188" s="133" t="n">
        <x:v>10.532761788120025</x:v>
      </x:c>
      <x:c r="L1188" s="133" t="n">
        <x:v>10.51980198019802</x:v>
      </x:c>
      <x:c r="M1188" s="133" t="n">
        <x:v>10.486486486486486</x:v>
      </x:c>
      <x:c r="N1188" s="133" t="n">
        <x:v>10.1010101010101</x:v>
      </x:c>
      <x:c r="O1188" s="133" t="n">
        <x:v>10.650887573964496</x:v>
      </x:c>
      <x:c r="P1188" s="132"/>
    </x:row>
    <x:row r="1189">
      <x:c r="A1189" s="136" t="str">
        <x:v>01119011302</x:v>
      </x:c>
      <x:c r="B1189" s="132" t="str">
        <x:v>Sumter County</x:v>
      </x:c>
      <x:c r="C1189" s="132" t="n">
        <x:v>0</x:v>
      </x:c>
      <x:c r="D1189" s="134" t="n">
        <x:v>2478</x:v>
      </x:c>
      <x:c r="E1189" s="133" t="n">
        <x:v>16.7</x:v>
      </x:c>
      <x:c r="F1189" s="134" t="n">
        <x:v>1580</x:v>
      </x:c>
      <x:c r="G1189" s="134" t="n">
        <x:v>0</x:v>
      </x:c>
      <x:c r="H1189" s="134" t="n">
        <x:v>542</x:v>
      </x:c>
      <x:c r="I1189" s="134" t="n">
        <x:v>345</x:v>
      </x:c>
      <x:c r="J1189" s="133" t="n">
        <x:v>21.872477804681193</x:v>
      </x:c>
      <x:c r="K1189" s="133" t="n">
        <x:v>21.835443037974684</x:v>
      </x:c>
      <x:c r="L1189" s="133" t="n">
        <x:v>21.96078431372549</x:v>
      </x:c>
      <x:c r="M1189" s="133" t="n">
        <x:v>21.8436873747495</x:v>
      </x:c>
      <x:c r="N1189" s="133" t="n">
        <x:v>23.333333333333332</x:v>
      </x:c>
      <x:c r="O1189" s="133" t="n">
        <x:v>21.951219512195124</x:v>
      </x:c>
      <x:c r="P1189" s="132"/>
    </x:row>
    <x:row r="1190">
      <x:c r="A1190" s="136" t="str">
        <x:v>01117030319</x:v>
      </x:c>
      <x:c r="B1190" s="132" t="str">
        <x:v>Shelby County</x:v>
      </x:c>
      <x:c r="C1190" s="132" t="n">
        <x:v>1</x:v>
      </x:c>
      <x:c r="D1190" s="134" t="n">
        <x:v>2480</x:v>
      </x:c>
      <x:c r="E1190" s="133" t="n">
        <x:v>6.9</x:v>
      </x:c>
      <x:c r="F1190" s="134" t="n">
        <x:v>1669</x:v>
      </x:c>
      <x:c r="G1190" s="134" t="n">
        <x:v>0</x:v>
      </x:c>
      <x:c r="H1190" s="134" t="n">
        <x:v>520</x:v>
      </x:c>
      <x:c r="I1190" s="134" t="n">
        <x:v>350</x:v>
      </x:c>
      <x:c r="J1190" s="133" t="n">
        <x:v>20.967741935483872</x:v>
      </x:c>
      <x:c r="K1190" s="133" t="n">
        <x:v>20.97064110245656</x:v>
      </x:c>
      <x:c r="L1190" s="133" t="n">
        <x:v>20.973782771535582</x:v>
      </x:c>
      <x:c r="M1190" s="133" t="n">
        <x:v>20.973154362416107</x:v>
      </x:c>
      <x:c r="N1190" s="133" t="n">
        <x:v>21.153846153846153</x:v>
      </x:c>
      <x:c r="O1190" s="133" t="n">
        <x:v>21.27659574468085</x:v>
      </x:c>
      <x:c r="P1190" s="132"/>
    </x:row>
    <x:row r="1191">
      <x:c r="A1191" s="136" t="str">
        <x:v>01083020600</x:v>
      </x:c>
      <x:c r="B1191" s="132" t="str">
        <x:v>Limestone County</x:v>
      </x:c>
      <x:c r="C1191" s="132" t="n">
        <x:v>1</x:v>
      </x:c>
      <x:c r="D1191" s="134" t="n">
        <x:v>4392</x:v>
      </x:c>
      <x:c r="E1191" s="133" t="n">
        <x:v>17.5</x:v>
      </x:c>
      <x:c r="F1191" s="134" t="n">
        <x:v>3238</x:v>
      </x:c>
      <x:c r="G1191" s="134" t="n">
        <x:v>0</x:v>
      </x:c>
      <x:c r="H1191" s="134" t="n">
        <x:v>479</x:v>
      </x:c>
      <x:c r="I1191" s="134" t="n">
        <x:v>353</x:v>
      </x:c>
      <x:c r="J1191" s="133" t="n">
        <x:v>10.906193078324225</x:v>
      </x:c>
      <x:c r="K1191" s="133" t="n">
        <x:v>10.9017912291538</x:v>
      </x:c>
      <x:c r="L1191" s="133" t="n">
        <x:v>10.875331564986737</x:v>
      </x:c>
      <x:c r="M1191" s="133" t="n">
        <x:v>10.83815028901734</x:v>
      </x:c>
      <x:c r="N1191" s="133" t="n">
        <x:v>11.11111111111111</x:v>
      </x:c>
      <x:c r="O1191" s="133" t="n">
        <x:v>10.76923076923077</x:v>
      </x:c>
      <x:c r="P1191" s="132"/>
    </x:row>
    <x:row r="1192">
      <x:c r="A1192" s="136" t="str">
        <x:v>01073014408</x:v>
      </x:c>
      <x:c r="B1192" s="132" t="str">
        <x:v>Jefferson County</x:v>
      </x:c>
      <x:c r="C1192" s="132" t="n">
        <x:v>1</x:v>
      </x:c>
      <x:c r="D1192" s="134" t="n">
        <x:v>4235</x:v>
      </x:c>
      <x:c r="E1192" s="133" t="n">
        <x:v>5.2</x:v>
      </x:c>
      <x:c r="F1192" s="134" t="n">
        <x:v>3139</x:v>
      </x:c>
      <x:c r="G1192" s="134" t="n">
        <x:v>0</x:v>
      </x:c>
      <x:c r="H1192" s="134" t="n">
        <x:v>488</x:v>
      </x:c>
      <x:c r="I1192" s="134" t="n">
        <x:v>362</x:v>
      </x:c>
      <x:c r="J1192" s="133" t="n">
        <x:v>11.523022432113342</x:v>
      </x:c>
      <x:c r="K1192" s="133" t="n">
        <x:v>11.532335138579166</x:v>
      </x:c>
      <x:c r="L1192" s="133" t="n">
        <x:v>11.50326797385621</x:v>
      </x:c>
      <x:c r="M1192" s="133" t="n">
        <x:v>11.594202898550725</x:v>
      </x:c>
      <x:c r="N1192" s="133" t="n">
        <x:v>11.290322580645162</x:v>
      </x:c>
      <x:c r="O1192" s="133" t="n">
        <x:v>10.81081081081081</x:v>
      </x:c>
      <x:c r="P1192" s="132"/>
    </x:row>
    <x:row r="1193">
      <x:c r="A1193" s="136" t="str">
        <x:v>01089000602</x:v>
      </x:c>
      <x:c r="B1193" s="132" t="str">
        <x:v>Madison County</x:v>
      </x:c>
      <x:c r="C1193" s="132" t="n">
        <x:v>1</x:v>
      </x:c>
      <x:c r="D1193" s="134" t="n">
        <x:v>2129</x:v>
      </x:c>
      <x:c r="E1193" s="133" t="n">
        <x:v>14.2</x:v>
      </x:c>
      <x:c r="F1193" s="134" t="n">
        <x:v>1552</x:v>
      </x:c>
      <x:c r="G1193" s="134" t="n">
        <x:v>0</x:v>
      </x:c>
      <x:c r="H1193" s="134" t="n">
        <x:v>502</x:v>
      </x:c>
      <x:c r="I1193" s="134" t="n">
        <x:v>366</x:v>
      </x:c>
      <x:c r="J1193" s="133" t="n">
        <x:v>23.579145138562705</x:v>
      </x:c>
      <x:c r="K1193" s="133" t="n">
        <x:v>23.582474226804123</x:v>
      </x:c>
      <x:c r="L1193" s="133" t="n">
        <x:v>23.632385120350108</x:v>
      </x:c>
      <x:c r="M1193" s="133" t="n">
        <x:v>23.484848484848484</x:v>
      </x:c>
      <x:c r="N1193" s="133" t="n">
        <x:v>22.22222222222222</x:v>
      </x:c>
      <x:c r="O1193" s="133" t="n">
        <x:v>23.762376237623762</x:v>
      </x:c>
      <x:c r="P1193" s="132"/>
    </x:row>
    <x:row r="1194">
      <x:c r="A1194" s="136" t="str">
        <x:v>01131035200</x:v>
      </x:c>
      <x:c r="B1194" s="132" t="str">
        <x:v>Wilcox County</x:v>
      </x:c>
      <x:c r="C1194" s="132" t="n">
        <x:v>0</x:v>
      </x:c>
      <x:c r="D1194" s="134" t="n">
        <x:v>1488</x:v>
      </x:c>
      <x:c r="E1194" s="133" t="n">
        <x:v>16.2</x:v>
      </x:c>
      <x:c r="F1194" s="134" t="n">
        <x:v>935</x:v>
      </x:c>
      <x:c r="G1194" s="134" t="n">
        <x:v>0</x:v>
      </x:c>
      <x:c r="H1194" s="134" t="n">
        <x:v>609</x:v>
      </x:c>
      <x:c r="I1194" s="134" t="n">
        <x:v>383</x:v>
      </x:c>
      <x:c r="J1194" s="133" t="n">
        <x:v>40.92741935483871</x:v>
      </x:c>
      <x:c r="K1194" s="133" t="n">
        <x:v>40.962566844919785</x:v>
      </x:c>
      <x:c r="L1194" s="133" t="n">
        <x:v>40.86021505376344</x:v>
      </x:c>
      <x:c r="M1194" s="133" t="n">
        <x:v>41.05793450881612</x:v>
      </x:c>
      <x:c r="N1194" s="133" t="n">
        <x:v>40.54054054054054</x:v>
      </x:c>
      <x:c r="O1194" s="133" t="n">
        <x:v>40.97222222222222</x:v>
      </x:c>
      <x:c r="P1194" s="132"/>
    </x:row>
    <x:row r="1195">
      <x:c r="A1195" s="136" t="str">
        <x:v>01043964800</x:v>
      </x:c>
      <x:c r="B1195" s="132" t="str">
        <x:v>Cullman County</x:v>
      </x:c>
      <x:c r="C1195" s="132" t="n">
        <x:v>1</x:v>
      </x:c>
      <x:c r="D1195" s="134" t="n">
        <x:v>4638</x:v>
      </x:c>
      <x:c r="E1195" s="133" t="n">
        <x:v>16.4</x:v>
      </x:c>
      <x:c r="F1195" s="134" t="n">
        <x:v>2990</x:v>
      </x:c>
      <x:c r="G1195" s="134" t="n">
        <x:v>0</x:v>
      </x:c>
      <x:c r="H1195" s="134" t="n">
        <x:v>630</x:v>
      </x:c>
      <x:c r="I1195" s="134" t="n">
        <x:v>406</x:v>
      </x:c>
      <x:c r="J1195" s="133" t="n">
        <x:v>13.583441138421733</x:v>
      </x:c>
      <x:c r="K1195" s="133" t="n">
        <x:v>13.578595317725753</x:v>
      </x:c>
      <x:c r="L1195" s="133" t="n">
        <x:v>13.581395348837209</x:v>
      </x:c>
      <x:c r="M1195" s="133" t="n">
        <x:v>13.630880579010856</x:v>
      </x:c>
      <x:c r="N1195" s="133" t="n">
        <x:v>13.953488372093023</x:v>
      </x:c>
      <x:c r="O1195" s="133" t="n">
        <x:v>13.559322033898304</x:v>
      </x:c>
      <x:c r="P1195" s="132"/>
    </x:row>
    <x:row r="1196">
      <x:c r="A1196" s="136" t="str">
        <x:v>01097003302</x:v>
      </x:c>
      <x:c r="B1196" s="132" t="str">
        <x:v>Mobile County</x:v>
      </x:c>
      <x:c r="C1196" s="132" t="n">
        <x:v>1</x:v>
      </x:c>
      <x:c r="D1196" s="134" t="n">
        <x:v>4987</x:v>
      </x:c>
      <x:c r="E1196" s="133" t="n">
        <x:v>11.1</x:v>
      </x:c>
      <x:c r="F1196" s="134" t="n">
        <x:v>3644</x:v>
      </x:c>
      <x:c r="G1196" s="134" t="n">
        <x:v>0</x:v>
      </x:c>
      <x:c r="H1196" s="134" t="n">
        <x:v>562</x:v>
      </x:c>
      <x:c r="I1196" s="134" t="n">
        <x:v>410</x:v>
      </x:c>
      <x:c r="J1196" s="133" t="n">
        <x:v>11.26930018046922</x:v>
      </x:c>
      <x:c r="K1196" s="133" t="n">
        <x:v>11.251372118551043</x:v>
      </x:c>
      <x:c r="L1196" s="133" t="n">
        <x:v>11.269035532994923</x:v>
      </x:c>
      <x:c r="M1196" s="133" t="n">
        <x:v>11.230585424133812</x:v>
      </x:c>
      <x:c r="N1196" s="133" t="n">
        <x:v>11.475409836065573</x:v>
      </x:c>
      <x:c r="O1196" s="133" t="n">
        <x:v>9.090909090909092</x:v>
      </x:c>
      <x:c r="P1196" s="132"/>
    </x:row>
    <x:row r="1197">
      <x:c r="A1197" s="136" t="str">
        <x:v>01125010105</x:v>
      </x:c>
      <x:c r="B1197" s="132" t="str">
        <x:v>Tuscaloosa County</x:v>
      </x:c>
      <x:c r="C1197" s="132" t="n">
        <x:v>0</x:v>
      </x:c>
      <x:c r="D1197" s="134" t="n">
        <x:v>3736</x:v>
      </x:c>
      <x:c r="E1197" s="133" t="n">
        <x:v>3.8</x:v>
      </x:c>
      <x:c r="F1197" s="134" t="n">
        <x:v>3605</x:v>
      </x:c>
      <x:c r="G1197" s="134" t="n">
        <x:v>0</x:v>
      </x:c>
      <x:c r="H1197" s="134" t="n">
        <x:v>444</x:v>
      </x:c>
      <x:c r="I1197" s="134" t="n">
        <x:v>429</x:v>
      </x:c>
      <x:c r="J1197" s="133" t="n">
        <x:v>11.884368308351178</x:v>
      </x:c>
      <x:c r="K1197" s="133" t="n">
        <x:v>11.900138696255201</x:v>
      </x:c>
      <x:c r="L1197" s="133" t="n">
        <x:v>11.881188118811881</x:v>
      </x:c>
      <x:c r="M1197" s="133" t="n">
        <x:v>11.8673647469459</x:v>
      </x:c>
      <x:c r="N1197" s="133" t="n">
        <x:v>12.5</x:v>
      </x:c>
      <x:c r="O1197" s="133" t="n">
        <x:v>12.5</x:v>
      </x:c>
      <x:c r="P1197" s="132"/>
    </x:row>
    <x:row r="1198">
      <x:c r="A1198" s="136" t="str">
        <x:v>01073004702</x:v>
      </x:c>
      <x:c r="B1198" s="132" t="str">
        <x:v>Jefferson County</x:v>
      </x:c>
      <x:c r="C1198" s="132" t="n">
        <x:v>1</x:v>
      </x:c>
      <x:c r="D1198" s="134" t="n">
        <x:v>3136</x:v>
      </x:c>
      <x:c r="E1198" s="133" t="n">
        <x:v>5.6</x:v>
      </x:c>
      <x:c r="F1198" s="134" t="n">
        <x:v>2560</x:v>
      </x:c>
      <x:c r="G1198" s="134" t="n">
        <x:v>0</x:v>
      </x:c>
      <x:c r="H1198" s="134" t="n">
        <x:v>541</x:v>
      </x:c>
      <x:c r="I1198" s="134" t="n">
        <x:v>442</x:v>
      </x:c>
      <x:c r="J1198" s="133" t="n">
        <x:v>17.25127551020408</x:v>
      </x:c>
      <x:c r="K1198" s="133" t="n">
        <x:v>17.265625</x:v>
      </x:c>
      <x:c r="L1198" s="133" t="n">
        <x:v>17.10914454277286</x:v>
      </x:c>
      <x:c r="M1198" s="133" t="n">
        <x:v>17.257318952234208</x:v>
      </x:c>
      <x:c r="N1198" s="133" t="n">
        <x:v>17.142857142857142</x:v>
      </x:c>
      <x:c r="O1198" s="133" t="n">
        <x:v>18.181818181818183</x:v>
      </x:c>
      <x:c r="P1198" s="132"/>
    </x:row>
    <x:row r="1199">
      <x:c r="A1199" s="136" t="str">
        <x:v>01089002701</x:v>
      </x:c>
      <x:c r="B1199" s="132" t="str">
        <x:v>Madison County</x:v>
      </x:c>
      <x:c r="C1199" s="132" t="n">
        <x:v>1</x:v>
      </x:c>
      <x:c r="D1199" s="134" t="n">
        <x:v>2730</x:v>
      </x:c>
      <x:c r="E1199" s="133" t="n">
        <x:v>8.9</x:v>
      </x:c>
      <x:c r="F1199" s="134" t="n">
        <x:v>2108</x:v>
      </x:c>
      <x:c r="G1199" s="134" t="n">
        <x:v>0</x:v>
      </x:c>
      <x:c r="H1199" s="134" t="n">
        <x:v>585</x:v>
      </x:c>
      <x:c r="I1199" s="134" t="n">
        <x:v>452</x:v>
      </x:c>
      <x:c r="J1199" s="133" t="n">
        <x:v>21.428571428571427</x:v>
      </x:c>
      <x:c r="K1199" s="133" t="n">
        <x:v>21.44212523719165</x:v>
      </x:c>
      <x:c r="L1199" s="133" t="n">
        <x:v>21.461187214611872</x:v>
      </x:c>
      <x:c r="M1199" s="133" t="n">
        <x:v>21.388101983002834</x:v>
      </x:c>
      <x:c r="N1199" s="133" t="n">
        <x:v>20</x:v>
      </x:c>
      <x:c r="O1199" s="133" t="n">
        <x:v>21.875</x:v>
      </x:c>
      <x:c r="P1199" s="132"/>
    </x:row>
    <x:row r="1200">
      <x:c r="A1200" s="136" t="str">
        <x:v>01003011417</x:v>
      </x:c>
      <x:c r="B1200" s="132" t="str">
        <x:v>Baldwin County</x:v>
      </x:c>
      <x:c r="C1200" s="132" t="n">
        <x:v>1</x:v>
      </x:c>
      <x:c r="D1200" s="134" t="n">
        <x:v>2525</x:v>
      </x:c>
      <x:c r="E1200" s="133" t="n">
        <x:v>3.4</x:v>
      </x:c>
      <x:c r="F1200" s="134" t="n">
        <x:v>2024</x:v>
      </x:c>
      <x:c r="G1200" s="134" t="n">
        <x:v>0</x:v>
      </x:c>
      <x:c r="H1200" s="134" t="n">
        <x:v>582</x:v>
      </x:c>
      <x:c r="I1200" s="134" t="n">
        <x:v>466</x:v>
      </x:c>
      <x:c r="J1200" s="133" t="n">
        <x:v>23.04950495049505</x:v>
      </x:c>
      <x:c r="K1200" s="133" t="n">
        <x:v>23.023715415019762</x:v>
      </x:c>
      <x:c r="L1200" s="133" t="n">
        <x:v>22.983870967741936</x:v>
      </x:c>
      <x:c r="M1200" s="133" t="n">
        <x:v>22.93986636971047</x:v>
      </x:c>
      <x:c r="N1200" s="133" t="n">
        <x:v>25</x:v>
      </x:c>
      <x:c r="O1200" s="133" t="n">
        <x:v>22.857142857142858</x:v>
      </x:c>
      <x:c r="P1200" s="132"/>
    </x:row>
    <x:row r="1201">
      <x:c r="A1201" s="136" t="str">
        <x:v>01073012921</x:v>
      </x:c>
      <x:c r="B1201" s="132" t="str">
        <x:v>Jefferson County</x:v>
      </x:c>
      <x:c r="C1201" s="132" t="n">
        <x:v>1</x:v>
      </x:c>
      <x:c r="D1201" s="134" t="n">
        <x:v>3572</x:v>
      </x:c>
      <x:c r="E1201" s="133" t="n">
        <x:v>2.6</x:v>
      </x:c>
      <x:c r="F1201" s="134" t="n">
        <x:v>2839</x:v>
      </x:c>
      <x:c r="G1201" s="134" t="n">
        <x:v>0</x:v>
      </x:c>
      <x:c r="H1201" s="134" t="n">
        <x:v>607</x:v>
      </x:c>
      <x:c r="I1201" s="134" t="n">
        <x:v>483</x:v>
      </x:c>
      <x:c r="J1201" s="133" t="n">
        <x:v>16.993281075027994</x:v>
      </x:c>
      <x:c r="K1201" s="133" t="n">
        <x:v>17.013032758013384</x:v>
      </x:c>
      <x:c r="L1201" s="133" t="n">
        <x:v>17.00318809776833</x:v>
      </x:c>
      <x:c r="M1201" s="133" t="n">
        <x:v>17.049180327868854</x:v>
      </x:c>
      <x:c r="N1201" s="133" t="n">
        <x:v>16.666666666666668</x:v>
      </x:c>
      <x:c r="O1201" s="133" t="n">
        <x:v>16.666666666666668</x:v>
      </x:c>
      <x:c r="P1201" s="132"/>
    </x:row>
    <x:row r="1202">
      <x:c r="A1202" s="136" t="str">
        <x:v>01015001201</x:v>
      </x:c>
      <x:c r="B1202" s="132" t="str">
        <x:v>Calhoun County</x:v>
      </x:c>
      <x:c r="C1202" s="132" t="n">
        <x:v>1</x:v>
      </x:c>
      <x:c r="D1202" s="134" t="n">
        <x:v>3361</x:v>
      </x:c>
      <x:c r="E1202" s="133" t="n">
        <x:v>15.2</x:v>
      </x:c>
      <x:c r="F1202" s="134" t="n">
        <x:v>1912</x:v>
      </x:c>
      <x:c r="G1202" s="134" t="n">
        <x:v>0</x:v>
      </x:c>
      <x:c r="H1202" s="134" t="n">
        <x:v>851</x:v>
      </x:c>
      <x:c r="I1202" s="134" t="n">
        <x:v>484</x:v>
      </x:c>
      <x:c r="J1202" s="133" t="n">
        <x:v>25.319845284141625</x:v>
      </x:c>
      <x:c r="K1202" s="133" t="n">
        <x:v>25.313807531380753</x:v>
      </x:c>
      <x:c r="L1202" s="133" t="n">
        <x:v>25.302826379542395</x:v>
      </x:c>
      <x:c r="M1202" s="133" t="n">
        <x:v>25.36764705882353</x:v>
      </x:c>
      <x:c r="N1202" s="133" t="n">
        <x:v>25.77319587628866</x:v>
      </x:c>
      <x:c r="O1202" s="133" t="n">
        <x:v>25.225225225225227</x:v>
      </x:c>
      <x:c r="P1202" s="132"/>
    </x:row>
    <x:row r="1203">
      <x:c r="A1203" s="136" t="str">
        <x:v>01003010500</x:v>
      </x:c>
      <x:c r="B1203" s="132" t="str">
        <x:v>Baldwin County</x:v>
      </x:c>
      <x:c r="C1203" s="132" t="n">
        <x:v>1</x:v>
      </x:c>
      <x:c r="D1203" s="134" t="n">
        <x:v>4850</x:v>
      </x:c>
      <x:c r="E1203" s="133" t="n">
        <x:v>13.5</x:v>
      </x:c>
      <x:c r="F1203" s="134" t="n">
        <x:v>2940</x:v>
      </x:c>
      <x:c r="G1203" s="134" t="n">
        <x:v>0</x:v>
      </x:c>
      <x:c r="H1203" s="134" t="n">
        <x:v>813</x:v>
      </x:c>
      <x:c r="I1203" s="134" t="n">
        <x:v>493</x:v>
      </x:c>
      <x:c r="J1203" s="133" t="n">
        <x:v>16.762886597938145</x:v>
      </x:c>
      <x:c r="K1203" s="133" t="n">
        <x:v>16.768707482993197</x:v>
      </x:c>
      <x:c r="L1203" s="133" t="n">
        <x:v>16.7973124300112</x:v>
      </x:c>
      <x:c r="M1203" s="133" t="n">
        <x:v>16.747337850919653</x:v>
      </x:c>
      <x:c r="N1203" s="133" t="n">
        <x:v>16.8141592920354</x:v>
      </x:c>
      <x:c r="O1203" s="133" t="n">
        <x:v>16.894977168949772</x:v>
      </x:c>
      <x:c r="P1203" s="132"/>
    </x:row>
    <x:row r="1204">
      <x:c r="A1204" s="136" t="str">
        <x:v>01051030801</x:v>
      </x:c>
      <x:c r="B1204" s="132" t="str">
        <x:v>Elmore County</x:v>
      </x:c>
      <x:c r="C1204" s="132" t="n">
        <x:v>1</x:v>
      </x:c>
      <x:c r="D1204" s="134" t="n">
        <x:v>2255</x:v>
      </x:c>
      <x:c r="E1204" s="133" t="n">
        <x:v>12.6</x:v>
      </x:c>
      <x:c r="F1204" s="134" t="n">
        <x:v>1766</x:v>
      </x:c>
      <x:c r="G1204" s="134" t="n">
        <x:v>0</x:v>
      </x:c>
      <x:c r="H1204" s="134" t="n">
        <x:v>630</x:v>
      </x:c>
      <x:c r="I1204" s="134" t="n">
        <x:v>494</x:v>
      </x:c>
      <x:c r="J1204" s="133" t="n">
        <x:v>27.93791574279379</x:v>
      </x:c>
      <x:c r="K1204" s="133" t="n">
        <x:v>27.97281993204983</x:v>
      </x:c>
      <x:c r="L1204" s="133" t="n">
        <x:v>28.016359918200408</x:v>
      </x:c>
      <x:c r="M1204" s="133" t="n">
        <x:v>28</x:v>
      </x:c>
      <x:c r="N1204" s="133" t="n">
        <x:v>28.205128205128204</x:v>
      </x:c>
      <x:c r="O1204" s="133" t="n">
        <x:v>28.282828282828284</x:v>
      </x:c>
      <x:c r="P1204" s="132"/>
    </x:row>
    <x:row r="1205">
      <x:c r="A1205" s="136" t="str">
        <x:v>01115040208</x:v>
      </x:c>
      <x:c r="B1205" s="132" t="str">
        <x:v>St. Clair County</x:v>
      </x:c>
      <x:c r="C1205" s="132" t="n">
        <x:v>1</x:v>
      </x:c>
      <x:c r="D1205" s="134" t="n">
        <x:v>2589</x:v>
      </x:c>
      <x:c r="E1205" s="133" t="n">
        <x:v>18.2</x:v>
      </x:c>
      <x:c r="F1205" s="134" t="n">
        <x:v>1536</x:v>
      </x:c>
      <x:c r="G1205" s="134" t="n">
        <x:v>0</x:v>
      </x:c>
      <x:c r="H1205" s="134" t="n">
        <x:v>850</x:v>
      </x:c>
      <x:c r="I1205" s="134" t="n">
        <x:v>504</x:v>
      </x:c>
      <x:c r="J1205" s="133" t="n">
        <x:v>32.831208960988796</x:v>
      </x:c>
      <x:c r="K1205" s="133" t="n">
        <x:v>32.8125</x:v>
      </x:c>
      <x:c r="L1205" s="133" t="n">
        <x:v>32.87671232876713</x:v>
      </x:c>
      <x:c r="M1205" s="133" t="n">
        <x:v>32.95454545454545</x:v>
      </x:c>
      <x:c r="N1205" s="133" t="n">
        <x:v>31.428571428571427</x:v>
      </x:c>
      <x:c r="O1205" s="133" t="n">
        <x:v>32.47863247863248</x:v>
      </x:c>
      <x:c r="P1205" s="132"/>
    </x:row>
    <x:row r="1206">
      <x:c r="A1206" s="136" t="str">
        <x:v>01097003712</x:v>
      </x:c>
      <x:c r="B1206" s="132" t="str">
        <x:v>Mobile County</x:v>
      </x:c>
      <x:c r="C1206" s="132" t="n">
        <x:v>1</x:v>
      </x:c>
      <x:c r="D1206" s="134" t="n">
        <x:v>3760</x:v>
      </x:c>
      <x:c r="E1206" s="133" t="n">
        <x:v>2.5</x:v>
      </x:c>
      <x:c r="F1206" s="134" t="n">
        <x:v>2631</x:v>
      </x:c>
      <x:c r="G1206" s="134" t="n">
        <x:v>0</x:v>
      </x:c>
      <x:c r="H1206" s="134" t="n">
        <x:v>753</x:v>
      </x:c>
      <x:c r="I1206" s="134" t="n">
        <x:v>527</x:v>
      </x:c>
      <x:c r="J1206" s="133" t="n">
        <x:v>20.02659574468085</x:v>
      </x:c>
      <x:c r="K1206" s="133" t="n">
        <x:v>20.030406689471683</x:v>
      </x:c>
      <x:c r="L1206" s="133" t="n">
        <x:v>19.970631424375917</x:v>
      </x:c>
      <x:c r="M1206" s="133" t="n">
        <x:v>20.04310344827586</x:v>
      </x:c>
      <x:c r="N1206" s="133" t="n">
        <x:v>17.647058823529413</x:v>
      </x:c>
      <x:c r="O1206" s="133" t="n">
        <x:v>20.408163265306122</x:v>
      </x:c>
      <x:c r="P1206" s="132"/>
    </x:row>
    <x:row r="1207">
      <x:c r="A1207" s="136" t="str">
        <x:v>01089011100</x:v>
      </x:c>
      <x:c r="B1207" s="132" t="str">
        <x:v>Madison County</x:v>
      </x:c>
      <x:c r="C1207" s="132" t="n">
        <x:v>1</x:v>
      </x:c>
      <x:c r="D1207" s="134" t="n">
        <x:v>865</x:v>
      </x:c>
      <x:c r="E1207" s="133" t="n">
        <x:v>16.1</x:v>
      </x:c>
      <x:c r="F1207" s="134" t="n">
        <x:v>871</x:v>
      </x:c>
      <x:c r="G1207" s="134" t="n">
        <x:v>0</x:v>
      </x:c>
      <x:c r="H1207" s="134" t="n">
        <x:v>534</x:v>
      </x:c>
      <x:c r="I1207" s="134" t="n">
        <x:v>537</x:v>
      </x:c>
      <x:c r="J1207" s="133" t="n">
        <x:v>61.73410404624278</x:v>
      </x:c>
      <x:c r="K1207" s="133" t="n">
        <x:v>61.653272101033295</x:v>
      </x:c>
      <x:c r="L1207" s="133" t="n">
        <x:v>61.80904522613066</x:v>
      </x:c>
      <x:c r="M1207" s="133" t="n">
        <x:v>62.121212121212125</x:v>
      </x:c>
      <x:c r="N1207" s="133" t="n">
        <x:v>61.53846153846154</x:v>
      </x:c>
      <x:c r="O1207" s="133"/>
      <x:c r="P1207" s="132"/>
    </x:row>
    <x:row r="1208">
      <x:c r="A1208" s="136" t="str">
        <x:v>01073012804</x:v>
      </x:c>
      <x:c r="B1208" s="132" t="str">
        <x:v>Jefferson County</x:v>
      </x:c>
      <x:c r="C1208" s="132" t="n">
        <x:v>1</x:v>
      </x:c>
      <x:c r="D1208" s="134" t="n">
        <x:v>3747</x:v>
      </x:c>
      <x:c r="E1208" s="133" t="n">
        <x:v>4.4</x:v>
      </x:c>
      <x:c r="F1208" s="134" t="n">
        <x:v>2743</x:v>
      </x:c>
      <x:c r="G1208" s="134" t="n">
        <x:v>0</x:v>
      </x:c>
      <x:c r="H1208" s="134" t="n">
        <x:v>765</x:v>
      </x:c>
      <x:c r="I1208" s="134" t="n">
        <x:v>560</x:v>
      </x:c>
      <x:c r="J1208" s="133" t="n">
        <x:v>20.416333066453163</x:v>
      </x:c>
      <x:c r="K1208" s="133" t="n">
        <x:v>20.41560335399198</x:v>
      </x:c>
      <x:c r="L1208" s="133" t="n">
        <x:v>20.376914016489987</x:v>
      </x:c>
      <x:c r="M1208" s="133" t="n">
        <x:v>20.458265139116204</x:v>
      </x:c>
      <x:c r="N1208" s="133" t="n">
        <x:v>18.75</x:v>
      </x:c>
      <x:c r="O1208" s="133"/>
      <x:c r="P1208" s="132"/>
    </x:row>
    <x:row r="1209">
      <x:c r="A1209" s="136" t="str">
        <x:v>01097003100</x:v>
      </x:c>
      <x:c r="B1209" s="132" t="str">
        <x:v>Mobile County</x:v>
      </x:c>
      <x:c r="C1209" s="132" t="n">
        <x:v>1</x:v>
      </x:c>
      <x:c r="D1209" s="134" t="n">
        <x:v>4357</x:v>
      </x:c>
      <x:c r="E1209" s="133" t="n">
        <x:v>9.6</x:v>
      </x:c>
      <x:c r="F1209" s="134" t="n">
        <x:v>3430</x:v>
      </x:c>
      <x:c r="G1209" s="134" t="n">
        <x:v>0</x:v>
      </x:c>
      <x:c r="H1209" s="134" t="n">
        <x:v>712</x:v>
      </x:c>
      <x:c r="I1209" s="134" t="n">
        <x:v>560</x:v>
      </x:c>
      <x:c r="J1209" s="133" t="n">
        <x:v>16.341519394078496</x:v>
      </x:c>
      <x:c r="K1209" s="133" t="n">
        <x:v>16.3265306122449</x:v>
      </x:c>
      <x:c r="L1209" s="133" t="n">
        <x:v>16.34506242905789</x:v>
      </x:c>
      <x:c r="M1209" s="133" t="n">
        <x:v>16.292134831460675</x:v>
      </x:c>
      <x:c r="N1209" s="133" t="n">
        <x:v>16.666666666666668</x:v>
      </x:c>
      <x:c r="O1209" s="133" t="n">
        <x:v>15.929203539823009</x:v>
      </x:c>
      <x:c r="P1209" s="132"/>
    </x:row>
    <x:row r="1210">
      <x:c r="A1210" s="136" t="str">
        <x:v>01047956701</x:v>
      </x:c>
      <x:c r="B1210" s="132" t="str">
        <x:v>Dallas County</x:v>
      </x:c>
      <x:c r="C1210" s="132" t="n">
        <x:v>1</x:v>
      </x:c>
      <x:c r="D1210" s="134" t="n">
        <x:v>1899</x:v>
      </x:c>
      <x:c r="E1210" s="133" t="n">
        <x:v>17.2</x:v>
      </x:c>
      <x:c r="F1210" s="134" t="n">
        <x:v>1218</x:v>
      </x:c>
      <x:c r="G1210" s="134" t="n">
        <x:v>0</x:v>
      </x:c>
      <x:c r="H1210" s="134" t="n">
        <x:v>889</x:v>
      </x:c>
      <x:c r="I1210" s="134" t="n">
        <x:v>570</x:v>
      </x:c>
      <x:c r="J1210" s="133" t="n">
        <x:v>46.81411269088994</x:v>
      </x:c>
      <x:c r="K1210" s="133" t="n">
        <x:v>46.79802955665025</x:v>
      </x:c>
      <x:c r="L1210" s="133" t="n">
        <x:v>46.91358024691358</x:v>
      </x:c>
      <x:c r="M1210" s="133" t="n">
        <x:v>46.733668341708544</x:v>
      </x:c>
      <x:c r="N1210" s="133" t="n">
        <x:v>44.44444444444444</x:v>
      </x:c>
      <x:c r="O1210" s="133" t="n">
        <x:v>46.51162790697674</x:v>
      </x:c>
      <x:c r="P1210" s="132"/>
    </x:row>
    <x:row r="1211">
      <x:c r="A1211" s="136" t="str">
        <x:v>01101002700</x:v>
      </x:c>
      <x:c r="B1211" s="132" t="str">
        <x:v>Montgomery County</x:v>
      </x:c>
      <x:c r="C1211" s="132" t="n">
        <x:v>1</x:v>
      </x:c>
      <x:c r="D1211" s="134" t="n">
        <x:v>4349</x:v>
      </x:c>
      <x:c r="E1211" s="133" t="n">
        <x:v>1.7</x:v>
      </x:c>
      <x:c r="F1211" s="134" t="n">
        <x:v>2479</x:v>
      </x:c>
      <x:c r="G1211" s="134" t="n">
        <x:v>0</x:v>
      </x:c>
      <x:c r="H1211" s="134" t="n">
        <x:v>1012</x:v>
      </x:c>
      <x:c r="I1211" s="134" t="n">
        <x:v>577</x:v>
      </x:c>
      <x:c r="J1211" s="133" t="n">
        <x:v>23.26971717636238</x:v>
      </x:c>
      <x:c r="K1211" s="133" t="n">
        <x:v>23.27551432029044</x:v>
      </x:c>
      <x:c r="L1211" s="133" t="n">
        <x:v>23.261694058154234</x:v>
      </x:c>
      <x:c r="M1211" s="133" t="n">
        <x:v>23.29817833173538</x:v>
      </x:c>
      <x:c r="N1211" s="133" t="n">
        <x:v>22.22222222222222</x:v>
      </x:c>
      <x:c r="O1211" s="133" t="n">
        <x:v>23.34494773519164</x:v>
      </x:c>
      <x:c r="P1211" s="132"/>
    </x:row>
    <x:row r="1212">
      <x:c r="A1212" s="136" t="str">
        <x:v>01097003708</x:v>
      </x:c>
      <x:c r="B1212" s="132" t="str">
        <x:v>Mobile County</x:v>
      </x:c>
      <x:c r="C1212" s="132" t="n">
        <x:v>1</x:v>
      </x:c>
      <x:c r="D1212" s="134" t="n">
        <x:v>4370</x:v>
      </x:c>
      <x:c r="E1212" s="133" t="n">
        <x:v>6.4</x:v>
      </x:c>
      <x:c r="F1212" s="134" t="n">
        <x:v>3664</x:v>
      </x:c>
      <x:c r="G1212" s="134" t="n">
        <x:v>0</x:v>
      </x:c>
      <x:c r="H1212" s="134" t="n">
        <x:v>696</x:v>
      </x:c>
      <x:c r="I1212" s="134" t="n">
        <x:v>583</x:v>
      </x:c>
      <x:c r="J1212" s="133" t="n">
        <x:v>15.926773455377575</x:v>
      </x:c>
      <x:c r="K1212" s="133" t="n">
        <x:v>15.911572052401747</x:v>
      </x:c>
      <x:c r="L1212" s="133" t="n">
        <x:v>15.922107674684995</x:v>
      </x:c>
      <x:c r="M1212" s="133" t="n">
        <x:v>15.875</x:v>
      </x:c>
      <x:c r="N1212" s="133" t="n">
        <x:v>16.113744075829384</x:v>
      </x:c>
      <x:c r="O1212" s="133" t="n">
        <x:v>15.899581589958158</x:v>
      </x:c>
      <x:c r="P1212" s="132"/>
    </x:row>
    <x:row r="1213">
      <x:c r="A1213" s="136" t="str">
        <x:v>01001020503</x:v>
      </x:c>
      <x:c r="B1213" s="132" t="str">
        <x:v>Autauga County</x:v>
      </x:c>
      <x:c r="C1213" s="132" t="n">
        <x:v>1</x:v>
      </x:c>
      <x:c r="D1213" s="134" t="n">
        <x:v>3616</x:v>
      </x:c>
      <x:c r="E1213" s="133" t="n">
        <x:v>14.9</x:v>
      </x:c>
      <x:c r="F1213" s="134" t="n">
        <x:v>2414</x:v>
      </x:c>
      <x:c r="G1213" s="134" t="n">
        <x:v>0</x:v>
      </x:c>
      <x:c r="H1213" s="134" t="n">
        <x:v>882</x:v>
      </x:c>
      <x:c r="I1213" s="134" t="n">
        <x:v>589</x:v>
      </x:c>
      <x:c r="J1213" s="133" t="n">
        <x:v>24.391592920353983</x:v>
      </x:c>
      <x:c r="K1213" s="133" t="n">
        <x:v>24.3993371996686</x:v>
      </x:c>
      <x:c r="L1213" s="133" t="n">
        <x:v>24.439197166469892</x:v>
      </x:c>
      <x:c r="M1213" s="133" t="n">
        <x:v>24.440619621342513</x:v>
      </x:c>
      <x:c r="N1213" s="133" t="n">
        <x:v>25.714285714285715</x:v>
      </x:c>
      <x:c r="O1213" s="133" t="n">
        <x:v>22.22222222222222</x:v>
      </x:c>
      <x:c r="P1213" s="132"/>
    </x:row>
    <x:row r="1214">
      <x:c r="A1214" s="136" t="str">
        <x:v>01103005106</x:v>
      </x:c>
      <x:c r="B1214" s="132" t="str">
        <x:v>Morgan County</x:v>
      </x:c>
      <x:c r="C1214" s="132" t="n">
        <x:v>1</x:v>
      </x:c>
      <x:c r="D1214" s="134" t="n">
        <x:v>6587</x:v>
      </x:c>
      <x:c r="E1214" s="133" t="n">
        <x:v>8.8</x:v>
      </x:c>
      <x:c r="F1214" s="134" t="n">
        <x:v>4589</x:v>
      </x:c>
      <x:c r="G1214" s="134" t="n">
        <x:v>0</x:v>
      </x:c>
      <x:c r="H1214" s="134" t="n">
        <x:v>851</x:v>
      </x:c>
      <x:c r="I1214" s="134" t="n">
        <x:v>593</x:v>
      </x:c>
      <x:c r="J1214" s="133" t="n">
        <x:v>12.919386670715046</x:v>
      </x:c>
      <x:c r="K1214" s="133" t="n">
        <x:v>12.922205273480062</x:v>
      </x:c>
      <x:c r="L1214" s="133" t="n">
        <x:v>12.905604719764012</x:v>
      </x:c>
      <x:c r="M1214" s="133" t="n">
        <x:v>12.934518997574777</x:v>
      </x:c>
      <x:c r="N1214" s="133" t="n">
        <x:v>13.114754098360656</x:v>
      </x:c>
      <x:c r="O1214" s="133" t="n">
        <x:v>12.592592592592593</x:v>
      </x:c>
      <x:c r="P1214" s="132"/>
    </x:row>
    <x:row r="1215">
      <x:c r="A1215" s="136" t="str">
        <x:v>01073012910</x:v>
      </x:c>
      <x:c r="B1215" s="132" t="str">
        <x:v>Jefferson County</x:v>
      </x:c>
      <x:c r="C1215" s="132" t="n">
        <x:v>1</x:v>
      </x:c>
      <x:c r="D1215" s="134" t="n">
        <x:v>4703</x:v>
      </x:c>
      <x:c r="E1215" s="133" t="n">
        <x:v>8.3</x:v>
      </x:c>
      <x:c r="F1215" s="134" t="n">
        <x:v>3366</x:v>
      </x:c>
      <x:c r="G1215" s="134" t="n">
        <x:v>0</x:v>
      </x:c>
      <x:c r="H1215" s="134" t="n">
        <x:v>841</x:v>
      </x:c>
      <x:c r="I1215" s="134" t="n">
        <x:v>602</x:v>
      </x:c>
      <x:c r="J1215" s="133" t="n">
        <x:v>17.882202849245164</x:v>
      </x:c>
      <x:c r="K1215" s="133" t="n">
        <x:v>17.88472964943553</x:v>
      </x:c>
      <x:c r="L1215" s="133" t="n">
        <x:v>17.891373801916934</x:v>
      </x:c>
      <x:c r="M1215" s="133" t="n">
        <x:v>17.902813299232736</x:v>
      </x:c>
      <x:c r="N1215" s="133" t="n">
        <x:v>17.391304347826086</x:v>
      </x:c>
      <x:c r="O1215" s="133" t="n">
        <x:v>17.94871794871795</x:v>
      </x:c>
      <x:c r="P1215" s="132"/>
    </x:row>
    <x:row r="1216">
      <x:c r="A1216" s="136" t="str">
        <x:v>01073014409</x:v>
      </x:c>
      <x:c r="B1216" s="132" t="str">
        <x:v>Jefferson County</x:v>
      </x:c>
      <x:c r="C1216" s="132" t="n">
        <x:v>1</x:v>
      </x:c>
      <x:c r="D1216" s="134" t="n">
        <x:v>3341</x:v>
      </x:c>
      <x:c r="E1216" s="133" t="n">
        <x:v>2.5</x:v>
      </x:c>
      <x:c r="F1216" s="134" t="n">
        <x:v>2691</x:v>
      </x:c>
      <x:c r="G1216" s="134" t="n">
        <x:v>0</x:v>
      </x:c>
      <x:c r="H1216" s="134" t="n">
        <x:v>788</x:v>
      </x:c>
      <x:c r="I1216" s="134" t="n">
        <x:v>634</x:v>
      </x:c>
      <x:c r="J1216" s="133" t="n">
        <x:v>23.585752768632148</x:v>
      </x:c>
      <x:c r="K1216" s="133" t="n">
        <x:v>23.56001486436269</x:v>
      </x:c>
      <x:c r="L1216" s="133" t="n">
        <x:v>23.529411764705884</x:v>
      </x:c>
      <x:c r="M1216" s="133" t="n">
        <x:v>23.603793466807165</x:v>
      </x:c>
      <x:c r="N1216" s="133" t="n">
        <x:v>23.91304347826087</x:v>
      </x:c>
      <x:c r="O1216" s="133" t="n">
        <x:v>23.636363636363637</x:v>
      </x:c>
      <x:c r="P1216" s="132"/>
    </x:row>
    <x:row r="1217">
      <x:c r="A1217" s="136" t="str">
        <x:v>01101002000</x:v>
      </x:c>
      <x:c r="B1217" s="132" t="str">
        <x:v>Montgomery County</x:v>
      </x:c>
      <x:c r="C1217" s="132" t="n">
        <x:v>1</x:v>
      </x:c>
      <x:c r="D1217" s="134" t="n">
        <x:v>4750</x:v>
      </x:c>
      <x:c r="E1217" s="133" t="n">
        <x:v>16.5</x:v>
      </x:c>
      <x:c r="F1217" s="134" t="n">
        <x:v>3297</x:v>
      </x:c>
      <x:c r="G1217" s="134" t="n">
        <x:v>0</x:v>
      </x:c>
      <x:c r="H1217" s="134" t="n">
        <x:v>935</x:v>
      </x:c>
      <x:c r="I1217" s="134" t="n">
        <x:v>649</x:v>
      </x:c>
      <x:c r="J1217" s="133" t="n">
        <x:v>19.68421052631579</x:v>
      </x:c>
      <x:c r="K1217" s="133" t="n">
        <x:v>19.684561722778284</x:v>
      </x:c>
      <x:c r="L1217" s="133" t="n">
        <x:v>19.71476510067114</x:v>
      </x:c>
      <x:c r="M1217" s="133" t="n">
        <x:v>19.693654266958426</x:v>
      </x:c>
      <x:c r="N1217" s="133"/>
      <x:c r="O1217" s="133" t="n">
        <x:v>19.823788546255507</x:v>
      </x:c>
      <x:c r="P1217" s="132"/>
    </x:row>
    <x:row r="1218">
      <x:c r="A1218" s="136" t="str">
        <x:v>01125012505</x:v>
      </x:c>
      <x:c r="B1218" s="132" t="str">
        <x:v>Tuscaloosa County</x:v>
      </x:c>
      <x:c r="C1218" s="132" t="n">
        <x:v>1</x:v>
      </x:c>
      <x:c r="D1218" s="134" t="n">
        <x:v>3951</x:v>
      </x:c>
      <x:c r="E1218" s="133" t="n">
        <x:v>8</x:v>
      </x:c>
      <x:c r="F1218" s="134" t="n">
        <x:v>3147</x:v>
      </x:c>
      <x:c r="G1218" s="134" t="n">
        <x:v>0</x:v>
      </x:c>
      <x:c r="H1218" s="134" t="n">
        <x:v>821</x:v>
      </x:c>
      <x:c r="I1218" s="134" t="n">
        <x:v>654</x:v>
      </x:c>
      <x:c r="J1218" s="133" t="n">
        <x:v>20.779549481144013</x:v>
      </x:c>
      <x:c r="K1218" s="133" t="n">
        <x:v>20.781696854146805</x:v>
      </x:c>
      <x:c r="L1218" s="133" t="n">
        <x:v>20.76271186440678</x:v>
      </x:c>
      <x:c r="M1218" s="133" t="n">
        <x:v>20.770519262981576</x:v>
      </x:c>
      <x:c r="N1218" s="133" t="n">
        <x:v>20.833333333333332</x:v>
      </x:c>
      <x:c r="O1218" s="133" t="n">
        <x:v>20.930232558139537</x:v>
      </x:c>
      <x:c r="P1218" s="132"/>
    </x:row>
    <x:row r="1219">
      <x:c r="A1219" s="136" t="str">
        <x:v>01001020400</x:v>
      </x:c>
      <x:c r="B1219" s="132" t="str">
        <x:v>Autauga County</x:v>
      </x:c>
      <x:c r="C1219" s="132" t="n">
        <x:v>1</x:v>
      </x:c>
      <x:c r="D1219" s="134" t="n">
        <x:v>4246</x:v>
      </x:c>
      <x:c r="E1219" s="133" t="n">
        <x:v>15.3</x:v>
      </x:c>
      <x:c r="F1219" s="134" t="n">
        <x:v>2580</x:v>
      </x:c>
      <x:c r="G1219" s="134" t="n">
        <x:v>0</x:v>
      </x:c>
      <x:c r="H1219" s="134" t="n">
        <x:v>1089</x:v>
      </x:c>
      <x:c r="I1219" s="134" t="n">
        <x:v>662</x:v>
      </x:c>
      <x:c r="J1219" s="133" t="n">
        <x:v>25.647668393782382</x:v>
      </x:c>
      <x:c r="K1219" s="133" t="n">
        <x:v>25.65891472868217</x:v>
      </x:c>
      <x:c r="L1219" s="133" t="n">
        <x:v>25.609756097560975</x:v>
      </x:c>
      <x:c r="M1219" s="133" t="n">
        <x:v>25.70239334027055</x:v>
      </x:c>
      <x:c r="N1219" s="133" t="n">
        <x:v>25.43859649122807</x:v>
      </x:c>
      <x:c r="O1219" s="133" t="n">
        <x:v>25.641025641025642</x:v>
      </x:c>
      <x:c r="P1219" s="132"/>
    </x:row>
    <x:row r="1220">
      <x:c r="A1220" s="136" t="str">
        <x:v>01073004800</x:v>
      </x:c>
      <x:c r="B1220" s="132" t="str">
        <x:v>Jefferson County</x:v>
      </x:c>
      <x:c r="C1220" s="132" t="n">
        <x:v>1</x:v>
      </x:c>
      <x:c r="D1220" s="134" t="n">
        <x:v>2011</x:v>
      </x:c>
      <x:c r="E1220" s="133" t="n">
        <x:v>8.6</x:v>
      </x:c>
      <x:c r="F1220" s="134" t="n">
        <x:v>1404</x:v>
      </x:c>
      <x:c r="G1220" s="134" t="n">
        <x:v>0</x:v>
      </x:c>
      <x:c r="H1220" s="134" t="n">
        <x:v>975</x:v>
      </x:c>
      <x:c r="I1220" s="134" t="n">
        <x:v>680</x:v>
      </x:c>
      <x:c r="J1220" s="133" t="n">
        <x:v>48.48334162108404</x:v>
      </x:c>
      <x:c r="K1220" s="133" t="n">
        <x:v>48.433048433048434</x:v>
      </x:c>
      <x:c r="L1220" s="133" t="n">
        <x:v>48.36065573770492</x:v>
      </x:c>
      <x:c r="M1220" s="133" t="n">
        <x:v>48.50498338870432</x:v>
      </x:c>
      <x:c r="N1220" s="133" t="n">
        <x:v>48.59154929577465</x:v>
      </x:c>
      <x:c r="O1220" s="133" t="n">
        <x:v>48.717948717948715</x:v>
      </x:c>
      <x:c r="P1220" s="132"/>
    </x:row>
    <x:row r="1221">
      <x:c r="A1221" s="136" t="str">
        <x:v>01073010705</x:v>
      </x:c>
      <x:c r="B1221" s="132" t="str">
        <x:v>Jefferson County</x:v>
      </x:c>
      <x:c r="C1221" s="132" t="n">
        <x:v>1</x:v>
      </x:c>
      <x:c r="D1221" s="134" t="n">
        <x:v>4125</x:v>
      </x:c>
      <x:c r="E1221" s="133" t="n">
        <x:v>1.7</x:v>
      </x:c>
      <x:c r="F1221" s="134" t="n">
        <x:v>4047</x:v>
      </x:c>
      <x:c r="G1221" s="134" t="n">
        <x:v>0</x:v>
      </x:c>
      <x:c r="H1221" s="134" t="n">
        <x:v>704</x:v>
      </x:c>
      <x:c r="I1221" s="134" t="n">
        <x:v>690</x:v>
      </x:c>
      <x:c r="J1221" s="133" t="n">
        <x:v>17.066666666666666</x:v>
      </x:c>
      <x:c r="K1221" s="133" t="n">
        <x:v>17.049666419570052</x:v>
      </x:c>
      <x:c r="L1221" s="133" t="n">
        <x:v>17.08051166290444</x:v>
      </x:c>
      <x:c r="M1221" s="133" t="n">
        <x:v>17.02127659574468</x:v>
      </x:c>
      <x:c r="N1221" s="133" t="n">
        <x:v>15.789473684210526</x:v>
      </x:c>
      <x:c r="O1221" s="133" t="n">
        <x:v>17.073170731707318</x:v>
      </x:c>
      <x:c r="P1221" s="132"/>
    </x:row>
    <x:row r="1222">
      <x:c r="A1222" s="136" t="str">
        <x:v>01073010702</x:v>
      </x:c>
      <x:c r="B1222" s="132" t="str">
        <x:v>Jefferson County</x:v>
      </x:c>
      <x:c r="C1222" s="132" t="n">
        <x:v>1</x:v>
      </x:c>
      <x:c r="D1222" s="134" t="n">
        <x:v>4898</x:v>
      </x:c>
      <x:c r="E1222" s="133" t="n">
        <x:v>10.5</x:v>
      </x:c>
      <x:c r="F1222" s="134" t="n">
        <x:v>4659</x:v>
      </x:c>
      <x:c r="G1222" s="134" t="n">
        <x:v>0</x:v>
      </x:c>
      <x:c r="H1222" s="134" t="n">
        <x:v>730</x:v>
      </x:c>
      <x:c r="I1222" s="134" t="n">
        <x:v>694</x:v>
      </x:c>
      <x:c r="J1222" s="133" t="n">
        <x:v>14.90404246631278</x:v>
      </x:c>
      <x:c r="K1222" s="133" t="n">
        <x:v>14.895900407812835</x:v>
      </x:c>
      <x:c r="L1222" s="133" t="n">
        <x:v>14.877868245743894</x:v>
      </x:c>
      <x:c r="M1222" s="133" t="n">
        <x:v>14.871794871794872</x:v>
      </x:c>
      <x:c r="N1222" s="133" t="n">
        <x:v>15.217391304347826</x:v>
      </x:c>
      <x:c r="O1222" s="133" t="n">
        <x:v>14.606741573033707</x:v>
      </x:c>
      <x:c r="P1222" s="132"/>
    </x:row>
    <x:row r="1223">
      <x:c r="A1223" s="136" t="str">
        <x:v>01101005409</x:v>
      </x:c>
      <x:c r="B1223" s="132" t="str">
        <x:v>Montgomery County</x:v>
      </x:c>
      <x:c r="C1223" s="132" t="n">
        <x:v>1</x:v>
      </x:c>
      <x:c r="D1223" s="134" t="n">
        <x:v>2325</x:v>
      </x:c>
      <x:c r="E1223" s="133" t="n">
        <x:v>9.2</x:v>
      </x:c>
      <x:c r="F1223" s="134" t="n">
        <x:v>1595</x:v>
      </x:c>
      <x:c r="G1223" s="134" t="n">
        <x:v>0</x:v>
      </x:c>
      <x:c r="H1223" s="134" t="n">
        <x:v>1020</x:v>
      </x:c>
      <x:c r="I1223" s="134" t="n">
        <x:v>700</x:v>
      </x:c>
      <x:c r="J1223" s="133" t="n">
        <x:v>43.87096774193548</x:v>
      </x:c>
      <x:c r="K1223" s="133" t="n">
        <x:v>43.8871473354232</x:v>
      </x:c>
      <x:c r="L1223" s="133" t="n">
        <x:v>43.80530973451327</x:v>
      </x:c>
      <x:c r="M1223" s="133" t="n">
        <x:v>43.96551724137931</x:v>
      </x:c>
      <x:c r="N1223" s="133" t="n">
        <x:v>43.90243902439025</x:v>
      </x:c>
      <x:c r="O1223" s="133" t="n">
        <x:v>44</x:v>
      </x:c>
      <x:c r="P1223" s="132"/>
    </x:row>
    <x:row r="1224">
      <x:c r="A1224" s="136" t="str">
        <x:v>01117030337</x:v>
      </x:c>
      <x:c r="B1224" s="132" t="str">
        <x:v>Shelby County</x:v>
      </x:c>
      <x:c r="C1224" s="132" t="n">
        <x:v>1</x:v>
      </x:c>
      <x:c r="D1224" s="134" t="n">
        <x:v>2053</x:v>
      </x:c>
      <x:c r="E1224" s="133" t="n">
        <x:v>14.2</x:v>
      </x:c>
      <x:c r="F1224" s="134" t="n">
        <x:v>1400</x:v>
      </x:c>
      <x:c r="G1224" s="134" t="n">
        <x:v>0</x:v>
      </x:c>
      <x:c r="H1224" s="134" t="n">
        <x:v>1037</x:v>
      </x:c>
      <x:c r="I1224" s="134" t="n">
        <x:v>707</x:v>
      </x:c>
      <x:c r="J1224" s="133" t="n">
        <x:v>50.511446663419385</x:v>
      </x:c>
      <x:c r="K1224" s="133" t="n">
        <x:v>50.5</x:v>
      </x:c>
      <x:c r="L1224" s="133" t="n">
        <x:v>50.496688741721854</x:v>
      </x:c>
      <x:c r="M1224" s="133" t="n">
        <x:v>50.666666666666664</x:v>
      </x:c>
      <x:c r="N1224" s="133" t="n">
        <x:v>52.38095238095238</x:v>
      </x:c>
      <x:c r="O1224" s="133" t="n">
        <x:v>50.943396226415096</x:v>
      </x:c>
      <x:c r="P1224" s="132"/>
    </x:row>
    <x:row r="1225">
      <x:c r="A1225" s="136" t="str">
        <x:v>01073010002</x:v>
      </x:c>
      <x:c r="B1225" s="132" t="str">
        <x:v>Jefferson County</x:v>
      </x:c>
      <x:c r="C1225" s="132" t="n">
        <x:v>1</x:v>
      </x:c>
      <x:c r="D1225" s="134" t="n">
        <x:v>5155</x:v>
      </x:c>
      <x:c r="E1225" s="133" t="n">
        <x:v>9.7</x:v>
      </x:c>
      <x:c r="F1225" s="134" t="n">
        <x:v>3389</x:v>
      </x:c>
      <x:c r="G1225" s="134" t="n">
        <x:v>0</x:v>
      </x:c>
      <x:c r="H1225" s="134" t="n">
        <x:v>1089</x:v>
      </x:c>
      <x:c r="I1225" s="134" t="n">
        <x:v>716</x:v>
      </x:c>
      <x:c r="J1225" s="133" t="n">
        <x:v>21.125121241513096</x:v>
      </x:c>
      <x:c r="K1225" s="133" t="n">
        <x:v>21.12717615815875</x:v>
      </x:c>
      <x:c r="L1225" s="133" t="n">
        <x:v>21.15534738485558</x:v>
      </x:c>
      <x:c r="M1225" s="133" t="n">
        <x:v>21.059268600252206</x:v>
      </x:c>
      <x:c r="N1225" s="133" t="n">
        <x:v>20</x:v>
      </x:c>
      <x:c r="O1225" s="133" t="n">
        <x:v>21.08843537414966</x:v>
      </x:c>
      <x:c r="P1225" s="132"/>
    </x:row>
    <x:row r="1226">
      <x:c r="A1226" s="136" t="str">
        <x:v>01001020300</x:v>
      </x:c>
      <x:c r="B1226" s="132" t="str">
        <x:v>Autauga County</x:v>
      </x:c>
      <x:c r="C1226" s="132" t="n">
        <x:v>1</x:v>
      </x:c>
      <x:c r="D1226" s="134" t="n">
        <x:v>3216</x:v>
      </x:c>
      <x:c r="E1226" s="133" t="n">
        <x:v>7.1</x:v>
      </x:c>
      <x:c r="F1226" s="134" t="n">
        <x:v>2350</x:v>
      </x:c>
      <x:c r="G1226" s="134" t="n">
        <x:v>0</x:v>
      </x:c>
      <x:c r="H1226" s="134" t="n">
        <x:v>981</x:v>
      </x:c>
      <x:c r="I1226" s="134" t="n">
        <x:v>717</x:v>
      </x:c>
      <x:c r="J1226" s="133" t="n">
        <x:v>30.503731343283583</x:v>
      </x:c>
      <x:c r="K1226" s="133" t="n">
        <x:v>30.51063829787234</x:v>
      </x:c>
      <x:c r="L1226" s="133" t="n">
        <x:v>30.506155950752394</x:v>
      </x:c>
      <x:c r="M1226" s="133" t="n">
        <x:v>30.434782608695652</x:v>
      </x:c>
      <x:c r="N1226" s="133" t="n">
        <x:v>30.952380952380953</x:v>
      </x:c>
      <x:c r="O1226" s="133" t="n">
        <x:v>30.63063063063063</x:v>
      </x:c>
      <x:c r="P1226" s="132"/>
    </x:row>
    <x:row r="1227">
      <x:c r="A1227" s="136" t="str">
        <x:v>01117030315</x:v>
      </x:c>
      <x:c r="B1227" s="132" t="str">
        <x:v>Shelby County</x:v>
      </x:c>
      <x:c r="C1227" s="132" t="n">
        <x:v>1</x:v>
      </x:c>
      <x:c r="D1227" s="134" t="n">
        <x:v>5610</x:v>
      </x:c>
      <x:c r="E1227" s="133" t="n">
        <x:v>16.5</x:v>
      </x:c>
      <x:c r="F1227" s="134" t="n">
        <x:v>3493</x:v>
      </x:c>
      <x:c r="G1227" s="134" t="n">
        <x:v>0</x:v>
      </x:c>
      <x:c r="H1227" s="134" t="n">
        <x:v>1162</x:v>
      </x:c>
      <x:c r="I1227" s="134" t="n">
        <x:v>723</x:v>
      </x:c>
      <x:c r="J1227" s="133" t="n">
        <x:v>20.71301247771836</x:v>
      </x:c>
      <x:c r="K1227" s="133" t="n">
        <x:v>20.69853993701689</x:v>
      </x:c>
      <x:c r="L1227" s="133" t="n">
        <x:v>20.689655172413794</x:v>
      </x:c>
      <x:c r="M1227" s="133" t="n">
        <x:v>20.655270655270655</x:v>
      </x:c>
      <x:c r="N1227" s="133" t="n">
        <x:v>23.529411764705884</x:v>
      </x:c>
      <x:c r="O1227" s="133" t="n">
        <x:v>20.27027027027027</x:v>
      </x:c>
      <x:c r="P1227" s="132"/>
    </x:row>
    <x:row r="1228">
      <x:c r="A1228" s="136" t="str">
        <x:v>01073012104</x:v>
      </x:c>
      <x:c r="B1228" s="132" t="str">
        <x:v>Jefferson County</x:v>
      </x:c>
      <x:c r="C1228" s="132" t="n">
        <x:v>1</x:v>
      </x:c>
      <x:c r="D1228" s="134" t="n">
        <x:v>2806</x:v>
      </x:c>
      <x:c r="E1228" s="133" t="n">
        <x:v>10.7</x:v>
      </x:c>
      <x:c r="F1228" s="134" t="n">
        <x:v>1969</x:v>
      </x:c>
      <x:c r="G1228" s="134" t="n">
        <x:v>0</x:v>
      </x:c>
      <x:c r="H1228" s="134" t="n">
        <x:v>1061</x:v>
      </x:c>
      <x:c r="I1228" s="134" t="n">
        <x:v>744</x:v>
      </x:c>
      <x:c r="J1228" s="133" t="n">
        <x:v>37.81183178902352</x:v>
      </x:c>
      <x:c r="K1228" s="133" t="n">
        <x:v>37.7856780091417</x:v>
      </x:c>
      <x:c r="L1228" s="133" t="n">
        <x:v>37.84665579119086</x:v>
      </x:c>
      <x:c r="M1228" s="133" t="n">
        <x:v>37.80260707635009</x:v>
      </x:c>
      <x:c r="N1228" s="133" t="n">
        <x:v>37.5</x:v>
      </x:c>
      <x:c r="O1228" s="133" t="n">
        <x:v>38.18181818181818</x:v>
      </x:c>
      <x:c r="P1228" s="132"/>
    </x:row>
    <x:row r="1229">
      <x:c r="A1229" s="136" t="str">
        <x:v>01101003303</x:v>
      </x:c>
      <x:c r="B1229" s="132" t="str">
        <x:v>Montgomery County</x:v>
      </x:c>
      <x:c r="C1229" s="132" t="n">
        <x:v>1</x:v>
      </x:c>
      <x:c r="D1229" s="134" t="n">
        <x:v>2652</x:v>
      </x:c>
      <x:c r="E1229" s="133" t="n">
        <x:v>10.8</x:v>
      </x:c>
      <x:c r="F1229" s="134" t="n">
        <x:v>1846</x:v>
      </x:c>
      <x:c r="G1229" s="134" t="n">
        <x:v>0</x:v>
      </x:c>
      <x:c r="H1229" s="134" t="n">
        <x:v>1076</x:v>
      </x:c>
      <x:c r="I1229" s="134" t="n">
        <x:v>749</x:v>
      </x:c>
      <x:c r="J1229" s="133" t="n">
        <x:v>40.57315233785822</x:v>
      </x:c>
      <x:c r="K1229" s="133" t="n">
        <x:v>40.57421451787649</x:v>
      </x:c>
      <x:c r="L1229" s="133" t="n">
        <x:v>40.66317626527051</x:v>
      </x:c>
      <x:c r="M1229" s="133" t="n">
        <x:v>40.56603773584906</x:v>
      </x:c>
      <x:c r="N1229" s="133"/>
      <x:c r="O1229" s="133" t="n">
        <x:v>40</x:v>
      </x:c>
      <x:c r="P1229" s="132"/>
    </x:row>
    <x:row r="1230">
      <x:c r="A1230" s="136" t="str">
        <x:v>01089002804</x:v>
      </x:c>
      <x:c r="B1230" s="132" t="str">
        <x:v>Madison County</x:v>
      </x:c>
      <x:c r="C1230" s="132" t="n">
        <x:v>1</x:v>
      </x:c>
      <x:c r="D1230" s="134" t="n">
        <x:v>2720</x:v>
      </x:c>
      <x:c r="E1230" s="133" t="n">
        <x:v>2.9</x:v>
      </x:c>
      <x:c r="F1230" s="134" t="n">
        <x:v>2809</x:v>
      </x:c>
      <x:c r="G1230" s="134" t="n">
        <x:v>0</x:v>
      </x:c>
      <x:c r="H1230" s="134" t="n">
        <x:v>726</x:v>
      </x:c>
      <x:c r="I1230" s="134" t="n">
        <x:v>750</x:v>
      </x:c>
      <x:c r="J1230" s="133" t="n">
        <x:v>26.691176470588236</x:v>
      </x:c>
      <x:c r="K1230" s="133" t="n">
        <x:v>26.699893200427198</x:v>
      </x:c>
      <x:c r="L1230" s="133" t="n">
        <x:v>26.760563380281692</x:v>
      </x:c>
      <x:c r="M1230" s="133" t="n">
        <x:v>26.62807525325615</x:v>
      </x:c>
      <x:c r="N1230" s="133"/>
      <x:c r="O1230" s="133" t="n">
        <x:v>26.666666666666668</x:v>
      </x:c>
      <x:c r="P1230" s="132"/>
    </x:row>
    <x:row r="1231">
      <x:c r="A1231" s="136" t="str">
        <x:v>01051031300</x:v>
      </x:c>
      <x:c r="B1231" s="132" t="str">
        <x:v>Elmore County</x:v>
      </x:c>
      <x:c r="C1231" s="132" t="n">
        <x:v>1</x:v>
      </x:c>
      <x:c r="D1231" s="134" t="n">
        <x:v>4157</x:v>
      </x:c>
      <x:c r="E1231" s="133" t="n">
        <x:v>11.6</x:v>
      </x:c>
      <x:c r="F1231" s="134" t="n">
        <x:v>2938</x:v>
      </x:c>
      <x:c r="G1231" s="134" t="n">
        <x:v>0</x:v>
      </x:c>
      <x:c r="H1231" s="134" t="n">
        <x:v>1067</x:v>
      </x:c>
      <x:c r="I1231" s="134" t="n">
        <x:v>754</x:v>
      </x:c>
      <x:c r="J1231" s="133" t="n">
        <x:v>25.66754871301419</x:v>
      </x:c>
      <x:c r="K1231" s="133" t="n">
        <x:v>25.663716814159294</x:v>
      </x:c>
      <x:c r="L1231" s="133" t="n">
        <x:v>25.656324582338904</x:v>
      </x:c>
      <x:c r="M1231" s="133" t="n">
        <x:v>25.728155339805824</x:v>
      </x:c>
      <x:c r="N1231" s="133" t="n">
        <x:v>25.974025974025974</x:v>
      </x:c>
      <x:c r="O1231" s="133" t="n">
        <x:v>25.663716814159294</x:v>
      </x:c>
      <x:c r="P1231" s="132"/>
    </x:row>
    <x:row r="1232">
      <x:c r="A1232" s="136" t="str">
        <x:v>01089002801</x:v>
      </x:c>
      <x:c r="B1232" s="132" t="str">
        <x:v>Madison County</x:v>
      </x:c>
      <x:c r="C1232" s="132" t="n">
        <x:v>1</x:v>
      </x:c>
      <x:c r="D1232" s="134" t="n">
        <x:v>5142</x:v>
      </x:c>
      <x:c r="E1232" s="133" t="n">
        <x:v>11.8</x:v>
      </x:c>
      <x:c r="F1232" s="134" t="n">
        <x:v>3481</x:v>
      </x:c>
      <x:c r="G1232" s="134" t="n">
        <x:v>0</x:v>
      </x:c>
      <x:c r="H1232" s="134" t="n">
        <x:v>1156</x:v>
      </x:c>
      <x:c r="I1232" s="134" t="n">
        <x:v>783</x:v>
      </x:c>
      <x:c r="J1232" s="133" t="n">
        <x:v>22.48152469856087</x:v>
      </x:c>
      <x:c r="K1232" s="133" t="n">
        <x:v>22.493536340132145</x:v>
      </x:c>
      <x:c r="L1232" s="133" t="n">
        <x:v>22.435897435897434</x:v>
      </x:c>
      <x:c r="M1232" s="133" t="n">
        <x:v>22.456669178598343</x:v>
      </x:c>
      <x:c r="N1232" s="133" t="n">
        <x:v>22.413793103448278</x:v>
      </x:c>
      <x:c r="O1232" s="133" t="n">
        <x:v>22.282608695652176</x:v>
      </x:c>
      <x:c r="P1232" s="132"/>
    </x:row>
    <x:row r="1233">
      <x:c r="A1233" s="136" t="str">
        <x:v>01125012306</x:v>
      </x:c>
      <x:c r="B1233" s="132" t="str">
        <x:v>Tuscaloosa County</x:v>
      </x:c>
      <x:c r="C1233" s="132" t="n">
        <x:v>1</x:v>
      </x:c>
      <x:c r="D1233" s="134" t="n">
        <x:v>5432</x:v>
      </x:c>
      <x:c r="E1233" s="133" t="n">
        <x:v>12.5</x:v>
      </x:c>
      <x:c r="F1233" s="134" t="n">
        <x:v>2880</x:v>
      </x:c>
      <x:c r="G1233" s="134" t="n">
        <x:v>0</x:v>
      </x:c>
      <x:c r="H1233" s="134" t="n">
        <x:v>1525</x:v>
      </x:c>
      <x:c r="I1233" s="134" t="n">
        <x:v>808</x:v>
      </x:c>
      <x:c r="J1233" s="133" t="n">
        <x:v>28.07437407952872</x:v>
      </x:c>
      <x:c r="K1233" s="133" t="n">
        <x:v>28.055555555555557</x:v>
      </x:c>
      <x:c r="L1233" s="133" t="n">
        <x:v>28.105726872246695</x:v>
      </x:c>
      <x:c r="M1233" s="133" t="n">
        <x:v>28.0982905982906</x:v>
      </x:c>
      <x:c r="N1233" s="133" t="n">
        <x:v>28.10810810810811</x:v>
      </x:c>
      <x:c r="O1233" s="133" t="n">
        <x:v>27.960526315789473</x:v>
      </x:c>
      <x:c r="P1233" s="132"/>
    </x:row>
    <x:row r="1234">
      <x:c r="A1234" s="136" t="str">
        <x:v>01097003408</x:v>
      </x:c>
      <x:c r="B1234" s="132" t="str">
        <x:v>Mobile County</x:v>
      </x:c>
      <x:c r="C1234" s="132" t="n">
        <x:v>1</x:v>
      </x:c>
      <x:c r="D1234" s="134" t="n">
        <x:v>3915</x:v>
      </x:c>
      <x:c r="E1234" s="133" t="n">
        <x:v>16.1</x:v>
      </x:c>
      <x:c r="F1234" s="134" t="n">
        <x:v>3468</x:v>
      </x:c>
      <x:c r="G1234" s="134" t="n">
        <x:v>0</x:v>
      </x:c>
      <x:c r="H1234" s="134" t="n">
        <x:v>916</x:v>
      </x:c>
      <x:c r="I1234" s="134" t="n">
        <x:v>811</x:v>
      </x:c>
      <x:c r="J1234" s="133" t="n">
        <x:v>23.397190293742018</x:v>
      </x:c>
      <x:c r="K1234" s="133" t="n">
        <x:v>23.385236447520185</x:v>
      </x:c>
      <x:c r="L1234" s="133" t="n">
        <x:v>23.357664233576642</x:v>
      </x:c>
      <x:c r="M1234" s="133" t="n">
        <x:v>23.384615384615383</x:v>
      </x:c>
      <x:c r="N1234" s="133" t="n">
        <x:v>22.857142857142858</x:v>
      </x:c>
      <x:c r="O1234" s="133" t="n">
        <x:v>23.4251968503937</x:v>
      </x:c>
      <x:c r="P1234" s="132"/>
    </x:row>
    <x:row r="1235">
      <x:c r="A1235" s="136" t="str">
        <x:v>01101005403</x:v>
      </x:c>
      <x:c r="B1235" s="132" t="str">
        <x:v>Montgomery County</x:v>
      </x:c>
      <x:c r="C1235" s="132" t="n">
        <x:v>1</x:v>
      </x:c>
      <x:c r="D1235" s="134" t="n">
        <x:v>3905</x:v>
      </x:c>
      <x:c r="E1235" s="133" t="n">
        <x:v>16.9</x:v>
      </x:c>
      <x:c r="F1235" s="134" t="n">
        <x:v>2459</x:v>
      </x:c>
      <x:c r="G1235" s="134" t="n">
        <x:v>0</x:v>
      </x:c>
      <x:c r="H1235" s="134" t="n">
        <x:v>1359</x:v>
      </x:c>
      <x:c r="I1235" s="134" t="n">
        <x:v>856</x:v>
      </x:c>
      <x:c r="J1235" s="133" t="n">
        <x:v>34.80153649167734</x:v>
      </x:c>
      <x:c r="K1235" s="133" t="n">
        <x:v>34.81089873932493</x:v>
      </x:c>
      <x:c r="L1235" s="133" t="n">
        <x:v>34.806629834254146</x:v>
      </x:c>
      <x:c r="M1235" s="133" t="n">
        <x:v>34.79318734793188</x:v>
      </x:c>
      <x:c r="N1235" s="133" t="n">
        <x:v>34.862385321100916</x:v>
      </x:c>
      <x:c r="O1235" s="133" t="n">
        <x:v>34.841628959276015</x:v>
      </x:c>
      <x:c r="P1235" s="132"/>
    </x:row>
    <x:row r="1236">
      <x:c r="A1236" s="136" t="str">
        <x:v>01089001700</x:v>
      </x:c>
      <x:c r="B1236" s="132" t="str">
        <x:v>Madison County</x:v>
      </x:c>
      <x:c r="C1236" s="132" t="n">
        <x:v>1</x:v>
      </x:c>
      <x:c r="D1236" s="134" t="n">
        <x:v>1920</x:v>
      </x:c>
      <x:c r="E1236" s="133" t="n">
        <x:v>2</x:v>
      </x:c>
      <x:c r="F1236" s="134" t="n">
        <x:v>1869</x:v>
      </x:c>
      <x:c r="G1236" s="134" t="n">
        <x:v>0</x:v>
      </x:c>
      <x:c r="H1236" s="134" t="n">
        <x:v>884</x:v>
      </x:c>
      <x:c r="I1236" s="134" t="n">
        <x:v>861</x:v>
      </x:c>
      <x:c r="J1236" s="133" t="n">
        <x:v>46.041666666666664</x:v>
      </x:c>
      <x:c r="K1236" s="133" t="n">
        <x:v>46.06741573033708</x:v>
      </x:c>
      <x:c r="L1236" s="133" t="n">
        <x:v>46.11528822055138</x:v>
      </x:c>
      <x:c r="M1236" s="133" t="n">
        <x:v>45.945945945945944</x:v>
      </x:c>
      <x:c r="N1236" s="133" t="n">
        <x:v>45.714285714285715</x:v>
      </x:c>
      <x:c r="O1236" s="133" t="n">
        <x:v>42.857142857142854</x:v>
      </x:c>
      <x:c r="P1236" s="132"/>
    </x:row>
    <x:row r="1237">
      <x:c r="A1237" s="136" t="str">
        <x:v>01015001103</x:v>
      </x:c>
      <x:c r="B1237" s="132" t="str">
        <x:v>Calhoun County</x:v>
      </x:c>
      <x:c r="C1237" s="132" t="n">
        <x:v>1</x:v>
      </x:c>
      <x:c r="D1237" s="134" t="n">
        <x:v>3663</x:v>
      </x:c>
      <x:c r="E1237" s="133" t="n">
        <x:v>18</x:v>
      </x:c>
      <x:c r="F1237" s="134" t="n">
        <x:v>2535</x:v>
      </x:c>
      <x:c r="G1237" s="134" t="n">
        <x:v>0</x:v>
      </x:c>
      <x:c r="H1237" s="134" t="n">
        <x:v>1279</x:v>
      </x:c>
      <x:c r="I1237" s="134" t="n">
        <x:v>885</x:v>
      </x:c>
      <x:c r="J1237" s="133" t="n">
        <x:v>34.91673491673492</x:v>
      </x:c>
      <x:c r="K1237" s="133" t="n">
        <x:v>34.9112426035503</x:v>
      </x:c>
      <x:c r="L1237" s="133" t="n">
        <x:v>34.943820224719104</x:v>
      </x:c>
      <x:c r="M1237" s="133" t="n">
        <x:v>34.87698986975398</x:v>
      </x:c>
      <x:c r="N1237" s="133" t="n">
        <x:v>34.48275862068966</x:v>
      </x:c>
      <x:c r="O1237" s="133" t="n">
        <x:v>35.08771929824562</x:v>
      </x:c>
      <x:c r="P1237" s="132"/>
    </x:row>
    <x:row r="1238">
      <x:c r="A1238" s="136" t="str">
        <x:v>01055010505</x:v>
      </x:c>
      <x:c r="B1238" s="132" t="str">
        <x:v>Etowah County</x:v>
      </x:c>
      <x:c r="C1238" s="132" t="n">
        <x:v>1</x:v>
      </x:c>
      <x:c r="D1238" s="134" t="n">
        <x:v>2817</x:v>
      </x:c>
      <x:c r="E1238" s="133" t="n">
        <x:v>13.2</x:v>
      </x:c>
      <x:c r="F1238" s="134" t="n">
        <x:v>1495</x:v>
      </x:c>
      <x:c r="G1238" s="134" t="n">
        <x:v>0</x:v>
      </x:c>
      <x:c r="H1238" s="134" t="n">
        <x:v>1678</x:v>
      </x:c>
      <x:c r="I1238" s="134" t="n">
        <x:v>890</x:v>
      </x:c>
      <x:c r="J1238" s="133" t="n">
        <x:v>59.56691515796947</x:v>
      </x:c>
      <x:c r="K1238" s="133" t="n">
        <x:v>59.531772575250834</x:v>
      </x:c>
      <x:c r="L1238" s="133" t="n">
        <x:v>59.59409594095941</x:v>
      </x:c>
      <x:c r="M1238" s="133" t="n">
        <x:v>59.57161981258367</x:v>
      </x:c>
      <x:c r="N1238" s="133" t="n">
        <x:v>59.80392156862745</x:v>
      </x:c>
      <x:c r="O1238" s="133" t="n">
        <x:v>58.97435897435897</x:v>
      </x:c>
      <x:c r="P1238" s="132"/>
    </x:row>
    <x:row r="1239">
      <x:c r="A1239" s="136" t="str">
        <x:v>01015002104</x:v>
      </x:c>
      <x:c r="B1239" s="132" t="str">
        <x:v>Calhoun County</x:v>
      </x:c>
      <x:c r="C1239" s="132" t="n">
        <x:v>1</x:v>
      </x:c>
      <x:c r="D1239" s="134" t="n">
        <x:v>3914</x:v>
      </x:c>
      <x:c r="E1239" s="133" t="n">
        <x:v>13.7</x:v>
      </x:c>
      <x:c r="F1239" s="134" t="n">
        <x:v>2618</x:v>
      </x:c>
      <x:c r="G1239" s="134" t="n">
        <x:v>0</x:v>
      </x:c>
      <x:c r="H1239" s="134" t="n">
        <x:v>1381</x:v>
      </x:c>
      <x:c r="I1239" s="134" t="n">
        <x:v>923</x:v>
      </x:c>
      <x:c r="J1239" s="133" t="n">
        <x:v>35.283597342871744</x:v>
      </x:c>
      <x:c r="K1239" s="133" t="n">
        <x:v>35.2559205500382</x:v>
      </x:c>
      <x:c r="L1239" s="133" t="n">
        <x:v>35.24283935242839</x:v>
      </x:c>
      <x:c r="M1239" s="133" t="n">
        <x:v>35.26170798898072</x:v>
      </x:c>
      <x:c r="N1239" s="133" t="n">
        <x:v>34.93150684931507</x:v>
      </x:c>
      <x:c r="O1239" s="133" t="n">
        <x:v>35.273972602739725</x:v>
      </x:c>
      <x:c r="P1239" s="132"/>
    </x:row>
    <x:row r="1240">
      <x:c r="A1240" s="136" t="str">
        <x:v>01127020302</x:v>
      </x:c>
      <x:c r="B1240" s="132" t="str">
        <x:v>Walker County</x:v>
      </x:c>
      <x:c r="C1240" s="132" t="n">
        <x:v>1</x:v>
      </x:c>
      <x:c r="D1240" s="134" t="n">
        <x:v>3259</x:v>
      </x:c>
      <x:c r="E1240" s="133" t="n">
        <x:v>13.1</x:v>
      </x:c>
      <x:c r="F1240" s="134" t="n">
        <x:v>2104</x:v>
      </x:c>
      <x:c r="G1240" s="134" t="n">
        <x:v>0</x:v>
      </x:c>
      <x:c r="H1240" s="134" t="n">
        <x:v>1440</x:v>
      </x:c>
      <x:c r="I1240" s="134" t="n">
        <x:v>930</x:v>
      </x:c>
      <x:c r="J1240" s="133" t="n">
        <x:v>44.18533292420988</x:v>
      </x:c>
      <x:c r="K1240" s="133" t="n">
        <x:v>44.20152091254753</x:v>
      </x:c>
      <x:c r="L1240" s="133" t="n">
        <x:v>44.14414414414414</x:v>
      </x:c>
      <x:c r="M1240" s="133" t="n">
        <x:v>44.237918215613384</x:v>
      </x:c>
      <x:c r="N1240" s="133" t="n">
        <x:v>42.857142857142854</x:v>
      </x:c>
      <x:c r="O1240" s="133" t="n">
        <x:v>44.04761904761905</x:v>
      </x:c>
      <x:c r="P1240" s="132"/>
    </x:row>
    <x:row r="1241">
      <x:c r="A1241" s="136" t="str">
        <x:v>01097006409</x:v>
      </x:c>
      <x:c r="B1241" s="132" t="str">
        <x:v>Mobile County</x:v>
      </x:c>
      <x:c r="C1241" s="132" t="n">
        <x:v>1</x:v>
      </x:c>
      <x:c r="D1241" s="134" t="n">
        <x:v>7317</x:v>
      </x:c>
      <x:c r="E1241" s="133" t="n">
        <x:v>4.2</x:v>
      </x:c>
      <x:c r="F1241" s="134" t="n">
        <x:v>5318</x:v>
      </x:c>
      <x:c r="G1241" s="134" t="n">
        <x:v>0</x:v>
      </x:c>
      <x:c r="H1241" s="134" t="n">
        <x:v>1288</x:v>
      </x:c>
      <x:c r="I1241" s="134" t="n">
        <x:v>936</x:v>
      </x:c>
      <x:c r="J1241" s="133" t="n">
        <x:v>17.602842695093617</x:v>
      </x:c>
      <x:c r="K1241" s="133" t="n">
        <x:v>17.600601729973675</x:v>
      </x:c>
      <x:c r="L1241" s="133" t="n">
        <x:v>17.617728531855956</x:v>
      </x:c>
      <x:c r="M1241" s="133" t="n">
        <x:v>17.611940298507463</x:v>
      </x:c>
      <x:c r="N1241" s="133" t="n">
        <x:v>16.129032258064516</x:v>
      </x:c>
      <x:c r="O1241" s="133" t="n">
        <x:v>17.5609756097561</x:v>
      </x:c>
      <x:c r="P1241" s="132"/>
    </x:row>
    <x:row r="1242">
      <x:c r="A1242" s="136" t="str">
        <x:v>01101005501</x:v>
      </x:c>
      <x:c r="B1242" s="132" t="str">
        <x:v>Montgomery County</x:v>
      </x:c>
      <x:c r="C1242" s="132" t="n">
        <x:v>1</x:v>
      </x:c>
      <x:c r="D1242" s="134" t="n">
        <x:v>3426</x:v>
      </x:c>
      <x:c r="E1242" s="133" t="n">
        <x:v>10.4</x:v>
      </x:c>
      <x:c r="F1242" s="134" t="n">
        <x:v>940</x:v>
      </x:c>
      <x:c r="G1242" s="134" t="n">
        <x:v>0</x:v>
      </x:c>
      <x:c r="H1242" s="134" t="n">
        <x:v>3426</x:v>
      </x:c>
      <x:c r="I1242" s="134" t="n">
        <x:v>940</x:v>
      </x:c>
      <x:c r="J1242" s="133" t="n">
        <x:v>100</x:v>
      </x:c>
      <x:c r="K1242" s="133" t="n">
        <x:v>100</x:v>
      </x:c>
      <x:c r="L1242" s="133" t="n">
        <x:v>100</x:v>
      </x:c>
      <x:c r="M1242" s="133" t="n">
        <x:v>100</x:v>
      </x:c>
      <x:c r="N1242" s="133" t="n">
        <x:v>100</x:v>
      </x:c>
      <x:c r="O1242" s="133" t="n">
        <x:v>100</x:v>
      </x:c>
      <x:c r="P1242" s="132"/>
    </x:row>
    <x:row r="1243">
      <x:c r="A1243" s="136" t="str">
        <x:v>01043964901</x:v>
      </x:c>
      <x:c r="B1243" s="132" t="str">
        <x:v>Cullman County</x:v>
      </x:c>
      <x:c r="C1243" s="132" t="n">
        <x:v>1</x:v>
      </x:c>
      <x:c r="D1243" s="134" t="n">
        <x:v>3371</x:v>
      </x:c>
      <x:c r="E1243" s="133" t="n">
        <x:v>13.8</x:v>
      </x:c>
      <x:c r="F1243" s="134" t="n">
        <x:v>2705</x:v>
      </x:c>
      <x:c r="G1243" s="134" t="n">
        <x:v>0</x:v>
      </x:c>
      <x:c r="H1243" s="134" t="n">
        <x:v>1173</x:v>
      </x:c>
      <x:c r="I1243" s="134" t="n">
        <x:v>941</x:v>
      </x:c>
      <x:c r="J1243" s="133" t="n">
        <x:v>34.796796202907146</x:v>
      </x:c>
      <x:c r="K1243" s="133" t="n">
        <x:v>34.78743068391867</x:v>
      </x:c>
      <x:c r="L1243" s="133" t="n">
        <x:v>34.729729729729726</x:v>
      </x:c>
      <x:c r="M1243" s="133" t="n">
        <x:v>34.78854024556617</x:v>
      </x:c>
      <x:c r="N1243" s="133" t="n">
        <x:v>35.22727272727273</x:v>
      </x:c>
      <x:c r="O1243" s="133" t="n">
        <x:v>33.333333333333336</x:v>
      </x:c>
      <x:c r="P1243" s="132"/>
    </x:row>
    <x:row r="1244">
      <x:c r="A1244" s="136" t="str">
        <x:v>01109189003</x:v>
      </x:c>
      <x:c r="B1244" s="132" t="str">
        <x:v>Pike County</x:v>
      </x:c>
      <x:c r="C1244" s="132" t="n">
        <x:v>1</x:v>
      </x:c>
      <x:c r="D1244" s="134" t="n">
        <x:v>3946</x:v>
      </x:c>
      <x:c r="E1244" s="133" t="n">
        <x:v>19.9</x:v>
      </x:c>
      <x:c r="F1244" s="134" t="n">
        <x:v>2334</x:v>
      </x:c>
      <x:c r="G1244" s="134" t="n">
        <x:v>0</x:v>
      </x:c>
      <x:c r="H1244" s="134" t="n">
        <x:v>1607</x:v>
      </x:c>
      <x:c r="I1244" s="134" t="n">
        <x:v>950</x:v>
      </x:c>
      <x:c r="J1244" s="133" t="n">
        <x:v>40.72478459199189</x:v>
      </x:c>
      <x:c r="K1244" s="133" t="n">
        <x:v>40.702656383890314</x:v>
      </x:c>
      <x:c r="L1244" s="133" t="n">
        <x:v>40.76655052264808</x:v>
      </x:c>
      <x:c r="M1244" s="133" t="n">
        <x:v>40.68857589984351</x:v>
      </x:c>
      <x:c r="N1244" s="133" t="n">
        <x:v>39.473684210526315</x:v>
      </x:c>
      <x:c r="O1244" s="133" t="n">
        <x:v>40.50632911392405</x:v>
      </x:c>
      <x:c r="P1244" s="132"/>
    </x:row>
    <x:row r="1245">
      <x:c r="A1245" s="136" t="str">
        <x:v>01095030903</x:v>
      </x:c>
      <x:c r="B1245" s="132" t="str">
        <x:v>Marshall County</x:v>
      </x:c>
      <x:c r="C1245" s="132" t="n">
        <x:v>1</x:v>
      </x:c>
      <x:c r="D1245" s="134" t="n">
        <x:v>5980</x:v>
      </x:c>
      <x:c r="E1245" s="133" t="n">
        <x:v>11.2</x:v>
      </x:c>
      <x:c r="F1245" s="134" t="n">
        <x:v>3515</x:v>
      </x:c>
      <x:c r="G1245" s="134" t="n">
        <x:v>0</x:v>
      </x:c>
      <x:c r="H1245" s="134" t="n">
        <x:v>1623</x:v>
      </x:c>
      <x:c r="I1245" s="134" t="n">
        <x:v>954</x:v>
      </x:c>
      <x:c r="J1245" s="133" t="n">
        <x:v>27.140468227424748</x:v>
      </x:c>
      <x:c r="K1245" s="133" t="n">
        <x:v>27.14082503556188</x:v>
      </x:c>
      <x:c r="L1245" s="133" t="n">
        <x:v>27.142067440574902</x:v>
      </x:c>
      <x:c r="M1245" s="133" t="n">
        <x:v>27.15736040609137</x:v>
      </x:c>
      <x:c r="N1245" s="133" t="n">
        <x:v>30</x:v>
      </x:c>
      <x:c r="O1245" s="133" t="n">
        <x:v>27.112676056338028</x:v>
      </x:c>
      <x:c r="P1245" s="132"/>
    </x:row>
    <x:row r="1246">
      <x:c r="A1246" s="136" t="str">
        <x:v>01117030314</x:v>
      </x:c>
      <x:c r="B1246" s="132" t="str">
        <x:v>Shelby County</x:v>
      </x:c>
      <x:c r="C1246" s="132" t="n">
        <x:v>1</x:v>
      </x:c>
      <x:c r="D1246" s="134" t="n">
        <x:v>3266</x:v>
      </x:c>
      <x:c r="E1246" s="133" t="n">
        <x:v>6.1</x:v>
      </x:c>
      <x:c r="F1246" s="134" t="n">
        <x:v>2594</x:v>
      </x:c>
      <x:c r="G1246" s="134" t="n">
        <x:v>0</x:v>
      </x:c>
      <x:c r="H1246" s="134" t="n">
        <x:v>1205</x:v>
      </x:c>
      <x:c r="I1246" s="134" t="n">
        <x:v>957</x:v>
      </x:c>
      <x:c r="J1246" s="133" t="n">
        <x:v>36.895284751990204</x:v>
      </x:c>
      <x:c r="K1246" s="133" t="n">
        <x:v>36.892829606784886</x:v>
      </x:c>
      <x:c r="L1246" s="133" t="n">
        <x:v>36.983842010771994</x:v>
      </x:c>
      <x:c r="M1246" s="133" t="n">
        <x:v>36.80555555555556</x:v>
      </x:c>
      <x:c r="N1246" s="133" t="n">
        <x:v>36.904761904761905</x:v>
      </x:c>
      <x:c r="O1246" s="133" t="n">
        <x:v>37.234042553191486</x:v>
      </x:c>
      <x:c r="P1246" s="132"/>
    </x:row>
    <x:row r="1247">
      <x:c r="A1247" s="136" t="str">
        <x:v>01081040901</x:v>
      </x:c>
      <x:c r="B1247" s="132" t="str">
        <x:v>Lee County</x:v>
      </x:c>
      <x:c r="C1247" s="132" t="n">
        <x:v>1</x:v>
      </x:c>
      <x:c r="D1247" s="134" t="n">
        <x:v>4226</x:v>
      </x:c>
      <x:c r="E1247" s="133" t="n">
        <x:v>12.7</x:v>
      </x:c>
      <x:c r="F1247" s="134" t="n">
        <x:v>3188</x:v>
      </x:c>
      <x:c r="G1247" s="134" t="n">
        <x:v>0</x:v>
      </x:c>
      <x:c r="H1247" s="134" t="n">
        <x:v>1270</x:v>
      </x:c>
      <x:c r="I1247" s="134" t="n">
        <x:v>958</x:v>
      </x:c>
      <x:c r="J1247" s="133" t="n">
        <x:v>30.05205868433507</x:v>
      </x:c>
      <x:c r="K1247" s="133" t="n">
        <x:v>30.050188205771644</x:v>
      </x:c>
      <x:c r="L1247" s="133" t="n">
        <x:v>30</x:v>
      </x:c>
      <x:c r="M1247" s="133" t="n">
        <x:v>30.063291139240505</x:v>
      </x:c>
      <x:c r="N1247" s="133" t="n">
        <x:v>33.333333333333336</x:v>
      </x:c>
      <x:c r="O1247" s="133" t="n">
        <x:v>30.158730158730158</x:v>
      </x:c>
      <x:c r="P1247" s="132"/>
    </x:row>
    <x:row r="1248">
      <x:c r="A1248" s="136" t="str">
        <x:v>01101003200</x:v>
      </x:c>
      <x:c r="B1248" s="132" t="str">
        <x:v>Montgomery County</x:v>
      </x:c>
      <x:c r="C1248" s="132" t="n">
        <x:v>1</x:v>
      </x:c>
      <x:c r="D1248" s="134" t="n">
        <x:v>5741</x:v>
      </x:c>
      <x:c r="E1248" s="133" t="n">
        <x:v>19.6</x:v>
      </x:c>
      <x:c r="F1248" s="134" t="n">
        <x:v>2893</x:v>
      </x:c>
      <x:c r="G1248" s="134" t="n">
        <x:v>0</x:v>
      </x:c>
      <x:c r="H1248" s="134" t="n">
        <x:v>1931</x:v>
      </x:c>
      <x:c r="I1248" s="134" t="n">
        <x:v>973</x:v>
      </x:c>
      <x:c r="J1248" s="133" t="n">
        <x:v>33.63525518202404</x:v>
      </x:c>
      <x:c r="K1248" s="133" t="n">
        <x:v>33.63290701693744</x:v>
      </x:c>
      <x:c r="L1248" s="133" t="n">
        <x:v>33.62068965517241</x:v>
      </x:c>
      <x:c r="M1248" s="133" t="n">
        <x:v>33.588621444201316</x:v>
      </x:c>
      <x:c r="N1248" s="133" t="n">
        <x:v>33.691756272401435</x:v>
      </x:c>
      <x:c r="O1248" s="133" t="n">
        <x:v>33.58024691358025</x:v>
      </x:c>
      <x:c r="P1248" s="132"/>
    </x:row>
    <x:row r="1249">
      <x:c r="A1249" s="136" t="str">
        <x:v>01015001502</x:v>
      </x:c>
      <x:c r="B1249" s="132" t="str">
        <x:v>Calhoun County</x:v>
      </x:c>
      <x:c r="C1249" s="132" t="n">
        <x:v>1</x:v>
      </x:c>
      <x:c r="D1249" s="134" t="n">
        <x:v>1724</x:v>
      </x:c>
      <x:c r="E1249" s="133" t="n">
        <x:v>8.7</x:v>
      </x:c>
      <x:c r="F1249" s="134" t="n">
        <x:v>1084</x:v>
      </x:c>
      <x:c r="G1249" s="134" t="n">
        <x:v>0</x:v>
      </x:c>
      <x:c r="H1249" s="134" t="n">
        <x:v>1553</x:v>
      </x:c>
      <x:c r="I1249" s="134" t="n">
        <x:v>976</x:v>
      </x:c>
      <x:c r="J1249" s="133" t="n">
        <x:v>90.08120649651973</x:v>
      </x:c>
      <x:c r="K1249" s="133" t="n">
        <x:v>90.03690036900369</x:v>
      </x:c>
      <x:c r="L1249" s="133" t="n">
        <x:v>90.02770083102493</x:v>
      </x:c>
      <x:c r="M1249" s="133" t="n">
        <x:v>90.09584664536742</x:v>
      </x:c>
      <x:c r="N1249" s="133"/>
      <x:c r="O1249" s="133" t="n">
        <x:v>89.74358974358974</x:v>
      </x:c>
      <x:c r="P1249" s="132"/>
    </x:row>
    <x:row r="1250">
      <x:c r="A1250" s="136" t="str">
        <x:v>01077011102</x:v>
      </x:c>
      <x:c r="B1250" s="132" t="str">
        <x:v>Lauderdale County</x:v>
      </x:c>
      <x:c r="C1250" s="132" t="n">
        <x:v>1</x:v>
      </x:c>
      <x:c r="D1250" s="134" t="n">
        <x:v>4518</x:v>
      </x:c>
      <x:c r="E1250" s="133" t="n">
        <x:v>2.8</x:v>
      </x:c>
      <x:c r="F1250" s="134" t="n">
        <x:v>3513</x:v>
      </x:c>
      <x:c r="G1250" s="134" t="n">
        <x:v>0</x:v>
      </x:c>
      <x:c r="H1250" s="134" t="n">
        <x:v>1275</x:v>
      </x:c>
      <x:c r="I1250" s="134" t="n">
        <x:v>991</x:v>
      </x:c>
      <x:c r="J1250" s="133" t="n">
        <x:v>28.220451527224437</x:v>
      </x:c>
      <x:c r="K1250" s="133" t="n">
        <x:v>28.20950754341019</x:v>
      </x:c>
      <x:c r="L1250" s="133" t="n">
        <x:v>28.276699029126213</x:v>
      </x:c>
      <x:c r="M1250" s="133" t="n">
        <x:v>28.221512247071352</x:v>
      </x:c>
      <x:c r="N1250" s="133"/>
      <x:c r="O1250" s="133" t="n">
        <x:v>27.45098039215686</x:v>
      </x:c>
      <x:c r="P1250" s="132"/>
    </x:row>
    <x:row r="1251">
      <x:c r="A1251" s="136" t="str">
        <x:v>01073011904</x:v>
      </x:c>
      <x:c r="B1251" s="132" t="str">
        <x:v>Jefferson County</x:v>
      </x:c>
      <x:c r="C1251" s="132" t="n">
        <x:v>1</x:v>
      </x:c>
      <x:c r="D1251" s="134" t="n">
        <x:v>2044</x:v>
      </x:c>
      <x:c r="E1251" s="133" t="n">
        <x:v>16.8</x:v>
      </x:c>
      <x:c r="F1251" s="134" t="n">
        <x:v>1202</x:v>
      </x:c>
      <x:c r="G1251" s="134" t="n">
        <x:v>0</x:v>
      </x:c>
      <x:c r="H1251" s="134" t="n">
        <x:v>1693</x:v>
      </x:c>
      <x:c r="I1251" s="134" t="n">
        <x:v>996</x:v>
      </x:c>
      <x:c r="J1251" s="133" t="n">
        <x:v>82.82778864970646</x:v>
      </x:c>
      <x:c r="K1251" s="133" t="n">
        <x:v>82.86189683860233</x:v>
      </x:c>
      <x:c r="L1251" s="133" t="n">
        <x:v>82.84960422163589</x:v>
      </x:c>
      <x:c r="M1251" s="133" t="n">
        <x:v>82.77777777777777</x:v>
      </x:c>
      <x:c r="N1251" s="133" t="n">
        <x:v>82.58426966292134</x:v>
      </x:c>
      <x:c r="O1251" s="133" t="n">
        <x:v>82.96296296296296</x:v>
      </x:c>
      <x:c r="P1251" s="132"/>
    </x:row>
    <x:row r="1252">
      <x:c r="A1252" s="136" t="str">
        <x:v>01089002923</x:v>
      </x:c>
      <x:c r="B1252" s="132" t="str">
        <x:v>Madison County</x:v>
      </x:c>
      <x:c r="C1252" s="132" t="n">
        <x:v>1</x:v>
      </x:c>
      <x:c r="D1252" s="134" t="n">
        <x:v>3578</x:v>
      </x:c>
      <x:c r="E1252" s="133" t="n">
        <x:v>7.4</x:v>
      </x:c>
      <x:c r="F1252" s="134" t="n">
        <x:v>2389</x:v>
      </x:c>
      <x:c r="G1252" s="134" t="n">
        <x:v>0</x:v>
      </x:c>
      <x:c r="H1252" s="134" t="n">
        <x:v>1515</x:v>
      </x:c>
      <x:c r="I1252" s="134" t="n">
        <x:v>1011</x:v>
      </x:c>
      <x:c r="J1252" s="133" t="n">
        <x:v>42.34209055338178</x:v>
      </x:c>
      <x:c r="K1252" s="133" t="n">
        <x:v>42.31896190874843</x:v>
      </x:c>
      <x:c r="L1252" s="133" t="n">
        <x:v>42.36842105263158</x:v>
      </x:c>
      <x:c r="M1252" s="133" t="n">
        <x:v>42.26086956521739</x:v>
      </x:c>
      <x:c r="N1252" s="133" t="n">
        <x:v>40</x:v>
      </x:c>
      <x:c r="O1252" s="133" t="n">
        <x:v>46.15384615384615</x:v>
      </x:c>
      <x:c r="P1252" s="132"/>
    </x:row>
    <x:row r="1253">
      <x:c r="A1253" s="136" t="str">
        <x:v>01051031001</x:v>
      </x:c>
      <x:c r="B1253" s="132" t="str">
        <x:v>Elmore County</x:v>
      </x:c>
      <x:c r="C1253" s="132" t="n">
        <x:v>1</x:v>
      </x:c>
      <x:c r="D1253" s="134" t="n">
        <x:v>4017</x:v>
      </x:c>
      <x:c r="E1253" s="133" t="n">
        <x:v>10.1</x:v>
      </x:c>
      <x:c r="F1253" s="134" t="n">
        <x:v>2715</x:v>
      </x:c>
      <x:c r="G1253" s="134" t="n">
        <x:v>0</x:v>
      </x:c>
      <x:c r="H1253" s="134" t="n">
        <x:v>1517</x:v>
      </x:c>
      <x:c r="I1253" s="134" t="n">
        <x:v>1026</x:v>
      </x:c>
      <x:c r="J1253" s="133" t="n">
        <x:v>37.76450087129699</x:v>
      </x:c>
      <x:c r="K1253" s="133" t="n">
        <x:v>37.790055248618785</x:v>
      </x:c>
      <x:c r="L1253" s="133" t="n">
        <x:v>37.7541142303969</x:v>
      </x:c>
      <x:c r="M1253" s="133" t="n">
        <x:v>37.78705636743215</x:v>
      </x:c>
      <x:c r="N1253" s="133" t="n">
        <x:v>38.35616438356164</x:v>
      </x:c>
      <x:c r="O1253" s="133" t="n">
        <x:v>37.755102040816325</x:v>
      </x:c>
      <x:c r="P1253" s="132"/>
    </x:row>
    <x:row r="1254">
      <x:c r="A1254" s="136" t="str">
        <x:v>01015001802</x:v>
      </x:c>
      <x:c r="B1254" s="132" t="str">
        <x:v>Calhoun County</x:v>
      </x:c>
      <x:c r="C1254" s="132" t="n">
        <x:v>1</x:v>
      </x:c>
      <x:c r="D1254" s="134" t="n">
        <x:v>4371</x:v>
      </x:c>
      <x:c r="E1254" s="133" t="n">
        <x:v>11.6</x:v>
      </x:c>
      <x:c r="F1254" s="134" t="n">
        <x:v>3456</x:v>
      </x:c>
      <x:c r="G1254" s="134" t="n">
        <x:v>0</x:v>
      </x:c>
      <x:c r="H1254" s="134" t="n">
        <x:v>1308</x:v>
      </x:c>
      <x:c r="I1254" s="134" t="n">
        <x:v>1034</x:v>
      </x:c>
      <x:c r="J1254" s="133" t="n">
        <x:v>29.924502402196293</x:v>
      </x:c>
      <x:c r="K1254" s="133" t="n">
        <x:v>29.91898148148148</x:v>
      </x:c>
      <x:c r="L1254" s="133" t="n">
        <x:v>29.894937917860553</x:v>
      </x:c>
      <x:c r="M1254" s="133" t="n">
        <x:v>29.87012987012987</x:v>
      </x:c>
      <x:c r="N1254" s="133" t="n">
        <x:v>28.571428571428573</x:v>
      </x:c>
      <x:c r="O1254" s="133" t="n">
        <x:v>30.036630036630036</x:v>
      </x:c>
      <x:c r="P1254" s="132"/>
    </x:row>
    <x:row r="1255">
      <x:c r="A1255" s="136" t="str">
        <x:v>01089000902</x:v>
      </x:c>
      <x:c r="B1255" s="132" t="str">
        <x:v>Madison County</x:v>
      </x:c>
      <x:c r="C1255" s="132" t="n">
        <x:v>1</x:v>
      </x:c>
      <x:c r="D1255" s="134" t="n">
        <x:v>2023</x:v>
      </x:c>
      <x:c r="E1255" s="133" t="n">
        <x:v>8.8</x:v>
      </x:c>
      <x:c r="F1255" s="134" t="n">
        <x:v>1917</x:v>
      </x:c>
      <x:c r="G1255" s="134" t="n">
        <x:v>0</x:v>
      </x:c>
      <x:c r="H1255" s="134" t="n">
        <x:v>1094</x:v>
      </x:c>
      <x:c r="I1255" s="134" t="n">
        <x:v>1037</x:v>
      </x:c>
      <x:c r="J1255" s="133" t="n">
        <x:v>54.07810182896688</x:v>
      </x:c>
      <x:c r="K1255" s="133" t="n">
        <x:v>54.09494001043297</x:v>
      </x:c>
      <x:c r="L1255" s="133" t="n">
        <x:v>54.0084388185654</x:v>
      </x:c>
      <x:c r="M1255" s="133" t="n">
        <x:v>54.21686746987952</x:v>
      </x:c>
      <x:c r="N1255" s="133" t="n">
        <x:v>53.333333333333336</x:v>
      </x:c>
      <x:c r="O1255" s="133" t="n">
        <x:v>54.23728813559322</x:v>
      </x:c>
      <x:c r="P1255" s="132"/>
    </x:row>
    <x:row r="1256">
      <x:c r="A1256" s="136" t="str">
        <x:v>01003011201</x:v>
      </x:c>
      <x:c r="B1256" s="132" t="str">
        <x:v>Baldwin County</x:v>
      </x:c>
      <x:c r="C1256" s="132" t="n">
        <x:v>1</x:v>
      </x:c>
      <x:c r="D1256" s="134" t="n">
        <x:v>4895</x:v>
      </x:c>
      <x:c r="E1256" s="133" t="n">
        <x:v>5.7</x:v>
      </x:c>
      <x:c r="F1256" s="134" t="n">
        <x:v>3886</x:v>
      </x:c>
      <x:c r="G1256" s="134" t="n">
        <x:v>0</x:v>
      </x:c>
      <x:c r="H1256" s="134" t="n">
        <x:v>1328</x:v>
      </x:c>
      <x:c r="I1256" s="134" t="n">
        <x:v>1054</x:v>
      </x:c>
      <x:c r="J1256" s="133" t="n">
        <x:v>27.129724208375894</x:v>
      </x:c>
      <x:c r="K1256" s="133" t="n">
        <x:v>27.12300566134843</x:v>
      </x:c>
      <x:c r="L1256" s="133" t="n">
        <x:v>27.103825136612024</x:v>
      </x:c>
      <x:c r="M1256" s="133" t="n">
        <x:v>27.117611212675197</x:v>
      </x:c>
      <x:c r="N1256" s="133" t="n">
        <x:v>28.125</x:v>
      </x:c>
      <x:c r="O1256" s="133" t="n">
        <x:v>26.785714285714285</x:v>
      </x:c>
      <x:c r="P1256" s="132"/>
    </x:row>
    <x:row r="1257">
      <x:c r="A1257" s="136" t="str">
        <x:v>01073002306</x:v>
      </x:c>
      <x:c r="B1257" s="132" t="str">
        <x:v>Jefferson County</x:v>
      </x:c>
      <x:c r="C1257" s="132" t="n">
        <x:v>1</x:v>
      </x:c>
      <x:c r="D1257" s="134" t="n">
        <x:v>3489</x:v>
      </x:c>
      <x:c r="E1257" s="133" t="n">
        <x:v>2.5</x:v>
      </x:c>
      <x:c r="F1257" s="134" t="n">
        <x:v>3060</x:v>
      </x:c>
      <x:c r="G1257" s="134" t="n">
        <x:v>0</x:v>
      </x:c>
      <x:c r="H1257" s="134" t="n">
        <x:v>1204</x:v>
      </x:c>
      <x:c r="I1257" s="134" t="n">
        <x:v>1056</x:v>
      </x:c>
      <x:c r="J1257" s="133" t="n">
        <x:v>34.508455144740616</x:v>
      </x:c>
      <x:c r="K1257" s="133" t="n">
        <x:v>34.509803921568626</x:v>
      </x:c>
      <x:c r="L1257" s="133" t="n">
        <x:v>34.58646616541353</x:v>
      </x:c>
      <x:c r="M1257" s="133" t="n">
        <x:v>34.46054750402576</x:v>
      </x:c>
      <x:c r="N1257" s="133" t="n">
        <x:v>28.571428571428573</x:v>
      </x:c>
      <x:c r="O1257" s="133" t="n">
        <x:v>35.13513513513514</x:v>
      </x:c>
      <x:c r="P1257" s="132"/>
    </x:row>
    <x:row r="1258">
      <x:c r="A1258" s="136" t="str">
        <x:v>01073005903</x:v>
      </x:c>
      <x:c r="B1258" s="132" t="str">
        <x:v>Jefferson County</x:v>
      </x:c>
      <x:c r="C1258" s="132" t="n">
        <x:v>1</x:v>
      </x:c>
      <x:c r="D1258" s="134" t="n">
        <x:v>5149</x:v>
      </x:c>
      <x:c r="E1258" s="133" t="n">
        <x:v>14.4</x:v>
      </x:c>
      <x:c r="F1258" s="134" t="n">
        <x:v>3181</x:v>
      </x:c>
      <x:c r="G1258" s="134" t="n">
        <x:v>0</x:v>
      </x:c>
      <x:c r="H1258" s="134" t="n">
        <x:v>1741</x:v>
      </x:c>
      <x:c r="I1258" s="134" t="n">
        <x:v>1076</x:v>
      </x:c>
      <x:c r="J1258" s="133" t="n">
        <x:v>33.812390755486504</x:v>
      </x:c>
      <x:c r="K1258" s="133" t="n">
        <x:v>33.82584093052499</x:v>
      </x:c>
      <x:c r="L1258" s="133" t="n">
        <x:v>33.80281690140845</x:v>
      </x:c>
      <x:c r="M1258" s="133" t="n">
        <x:v>33.79152348224513</x:v>
      </x:c>
      <x:c r="N1258" s="133" t="n">
        <x:v>33.99014778325123</x:v>
      </x:c>
      <x:c r="O1258" s="133" t="n">
        <x:v>33.850931677018636</x:v>
      </x:c>
      <x:c r="P1258" s="132"/>
    </x:row>
    <x:row r="1259">
      <x:c r="A1259" s="136" t="str">
        <x:v>01089002912</x:v>
      </x:c>
      <x:c r="B1259" s="132" t="str">
        <x:v>Madison County</x:v>
      </x:c>
      <x:c r="C1259" s="132" t="n">
        <x:v>1</x:v>
      </x:c>
      <x:c r="D1259" s="134" t="n">
        <x:v>2448</x:v>
      </x:c>
      <x:c r="E1259" s="133" t="n">
        <x:v>1</x:v>
      </x:c>
      <x:c r="F1259" s="134" t="n">
        <x:v>2106</x:v>
      </x:c>
      <x:c r="G1259" s="134" t="n">
        <x:v>0</x:v>
      </x:c>
      <x:c r="H1259" s="134" t="n">
        <x:v>1263</x:v>
      </x:c>
      <x:c r="I1259" s="134" t="n">
        <x:v>1087</x:v>
      </x:c>
      <x:c r="J1259" s="133" t="n">
        <x:v>51.59313725490196</x:v>
      </x:c>
      <x:c r="K1259" s="133" t="n">
        <x:v>51.61443494776828</x:v>
      </x:c>
      <x:c r="L1259" s="133" t="n">
        <x:v>51.703406813627254</x:v>
      </x:c>
      <x:c r="M1259" s="133" t="n">
        <x:v>51.63398692810458</x:v>
      </x:c>
      <x:c r="N1259" s="133" t="n">
        <x:v>50</x:v>
      </x:c>
      <x:c r="O1259" s="133" t="n">
        <x:v>50</x:v>
      </x:c>
      <x:c r="P1259" s="132"/>
    </x:row>
    <x:row r="1260">
      <x:c r="A1260" s="136" t="str">
        <x:v>01001020100</x:v>
      </x:c>
      <x:c r="B1260" s="132" t="str">
        <x:v>Autauga County</x:v>
      </x:c>
      <x:c r="C1260" s="132" t="n">
        <x:v>1</x:v>
      </x:c>
      <x:c r="D1260" s="134" t="n">
        <x:v>1775</x:v>
      </x:c>
      <x:c r="E1260" s="133" t="n">
        <x:v>17.4</x:v>
      </x:c>
      <x:c r="F1260" s="134" t="n">
        <x:v>1316</x:v>
      </x:c>
      <x:c r="G1260" s="134" t="n">
        <x:v>0</x:v>
      </x:c>
      <x:c r="H1260" s="134" t="n">
        <x:v>1469</x:v>
      </x:c>
      <x:c r="I1260" s="134" t="n">
        <x:v>1089</x:v>
      </x:c>
      <x:c r="J1260" s="133" t="n">
        <x:v>82.7605633802817</x:v>
      </x:c>
      <x:c r="K1260" s="133" t="n">
        <x:v>82.75075987841946</x:v>
      </x:c>
      <x:c r="L1260" s="133" t="n">
        <x:v>82.71604938271605</x:v>
      </x:c>
      <x:c r="M1260" s="133" t="n">
        <x:v>82.74647887323944</x:v>
      </x:c>
      <x:c r="N1260" s="133" t="n">
        <x:v>82.85714285714286</x:v>
      </x:c>
      <x:c r="O1260" s="133" t="n">
        <x:v>83</x:v>
      </x:c>
      <x:c r="P1260" s="132"/>
    </x:row>
    <x:row r="1261">
      <x:c r="A1261" s="136" t="str">
        <x:v>01073010807</x:v>
      </x:c>
      <x:c r="B1261" s="132" t="str">
        <x:v>Jefferson County</x:v>
      </x:c>
      <x:c r="C1261" s="132" t="n">
        <x:v>1</x:v>
      </x:c>
      <x:c r="D1261" s="134" t="n">
        <x:v>1450</x:v>
      </x:c>
      <x:c r="E1261" s="133" t="n">
        <x:v>1.6</x:v>
      </x:c>
      <x:c r="F1261" s="134" t="n">
        <x:v>1105</x:v>
      </x:c>
      <x:c r="G1261" s="134" t="n">
        <x:v>0</x:v>
      </x:c>
      <x:c r="H1261" s="134" t="n">
        <x:v>1438</x:v>
      </x:c>
      <x:c r="I1261" s="134" t="n">
        <x:v>1096</x:v>
      </x:c>
      <x:c r="J1261" s="133" t="n">
        <x:v>99.17241379310344</x:v>
      </x:c>
      <x:c r="K1261" s="133" t="n">
        <x:v>99.18552036199095</x:v>
      </x:c>
      <x:c r="L1261" s="133" t="n">
        <x:v>99.22779922779922</x:v>
      </x:c>
      <x:c r="M1261" s="133" t="n">
        <x:v>99.0625</x:v>
      </x:c>
      <x:c r="N1261" s="133" t="n">
        <x:v>100</x:v>
      </x:c>
      <x:c r="O1261" s="133" t="n">
        <x:v>100</x:v>
      </x:c>
      <x:c r="P1261" s="132"/>
    </x:row>
    <x:row r="1262">
      <x:c r="A1262" s="136" t="str">
        <x:v>01083020900</x:v>
      </x:c>
      <x:c r="B1262" s="132" t="str">
        <x:v>Limestone County</x:v>
      </x:c>
      <x:c r="C1262" s="132" t="n">
        <x:v>1</x:v>
      </x:c>
      <x:c r="D1262" s="134" t="n">
        <x:v>4293</x:v>
      </x:c>
      <x:c r="E1262" s="133" t="n">
        <x:v>6.9</x:v>
      </x:c>
      <x:c r="F1262" s="134" t="n">
        <x:v>3414</x:v>
      </x:c>
      <x:c r="G1262" s="134" t="n">
        <x:v>0</x:v>
      </x:c>
      <x:c r="H1262" s="134" t="n">
        <x:v>1389</x:v>
      </x:c>
      <x:c r="I1262" s="134" t="n">
        <x:v>1105</x:v>
      </x:c>
      <x:c r="J1262" s="133" t="n">
        <x:v>32.3549965059399</x:v>
      </x:c>
      <x:c r="K1262" s="133" t="n">
        <x:v>32.36672524897481</x:v>
      </x:c>
      <x:c r="L1262" s="133" t="n">
        <x:v>32.349602724177075</x:v>
      </x:c>
      <x:c r="M1262" s="133" t="n">
        <x:v>32.309322033898304</x:v>
      </x:c>
      <x:c r="N1262" s="133" t="n">
        <x:v>32.5</x:v>
      </x:c>
      <x:c r="O1262" s="133" t="n">
        <x:v>31.914893617021278</x:v>
      </x:c>
      <x:c r="P1262" s="132"/>
    </x:row>
    <x:row r="1263">
      <x:c r="A1263" s="136" t="str">
        <x:v>01001020501</x:v>
      </x:c>
      <x:c r="B1263" s="132" t="str">
        <x:v>Autauga County</x:v>
      </x:c>
      <x:c r="C1263" s="132" t="n">
        <x:v>1</x:v>
      </x:c>
      <x:c r="D1263" s="134" t="n">
        <x:v>4322</x:v>
      </x:c>
      <x:c r="E1263" s="133" t="n">
        <x:v>3.5</x:v>
      </x:c>
      <x:c r="F1263" s="134" t="n">
        <x:v>4114</x:v>
      </x:c>
      <x:c r="G1263" s="134" t="n">
        <x:v>0</x:v>
      </x:c>
      <x:c r="H1263" s="134" t="n">
        <x:v>1201</x:v>
      </x:c>
      <x:c r="I1263" s="134" t="n">
        <x:v>1143</x:v>
      </x:c>
      <x:c r="J1263" s="133" t="n">
        <x:v>27.788061082832023</x:v>
      </x:c>
      <x:c r="K1263" s="133" t="n">
        <x:v>27.783179387457462</x:v>
      </x:c>
      <x:c r="L1263" s="133" t="n">
        <x:v>27.806925498426022</x:v>
      </x:c>
      <x:c r="M1263" s="133" t="n">
        <x:v>27.792207792207794</x:v>
      </x:c>
      <x:c r="N1263" s="133" t="n">
        <x:v>33.333333333333336</x:v>
      </x:c>
      <x:c r="O1263" s="133" t="n">
        <x:v>28.30188679245283</x:v>
      </x:c>
      <x:c r="P1263" s="132"/>
    </x:row>
    <x:row r="1264">
      <x:c r="A1264" s="136" t="str">
        <x:v>01073011707</x:v>
      </x:c>
      <x:c r="B1264" s="132" t="str">
        <x:v>Jefferson County</x:v>
      </x:c>
      <x:c r="C1264" s="132" t="n">
        <x:v>1</x:v>
      </x:c>
      <x:c r="D1264" s="134" t="n">
        <x:v>3825</x:v>
      </x:c>
      <x:c r="E1264" s="133" t="n">
        <x:v>3.5</x:v>
      </x:c>
      <x:c r="F1264" s="134" t="n">
        <x:v>3273</x:v>
      </x:c>
      <x:c r="G1264" s="134" t="n">
        <x:v>0</x:v>
      </x:c>
      <x:c r="H1264" s="134" t="n">
        <x:v>1337</x:v>
      </x:c>
      <x:c r="I1264" s="134" t="n">
        <x:v>1144</x:v>
      </x:c>
      <x:c r="J1264" s="133" t="n">
        <x:v>34.95424836601307</x:v>
      </x:c>
      <x:c r="K1264" s="133" t="n">
        <x:v>34.95264283531928</x:v>
      </x:c>
      <x:c r="L1264" s="133" t="n">
        <x:v>34.91847826086956</x:v>
      </x:c>
      <x:c r="M1264" s="133" t="n">
        <x:v>34.979973297730304</x:v>
      </x:c>
      <x:c r="N1264" s="133" t="n">
        <x:v>34.09090909090909</x:v>
      </x:c>
      <x:c r="O1264" s="133" t="n">
        <x:v>34.82142857142857</x:v>
      </x:c>
      <x:c r="P1264" s="132"/>
    </x:row>
    <x:row r="1265">
      <x:c r="A1265" s="136" t="str">
        <x:v>01089002722</x:v>
      </x:c>
      <x:c r="B1265" s="132" t="str">
        <x:v>Madison County</x:v>
      </x:c>
      <x:c r="C1265" s="132" t="n">
        <x:v>1</x:v>
      </x:c>
      <x:c r="D1265" s="134" t="n">
        <x:v>3129</x:v>
      </x:c>
      <x:c r="E1265" s="133" t="n">
        <x:v>9.6</x:v>
      </x:c>
      <x:c r="F1265" s="134" t="n">
        <x:v>2356</x:v>
      </x:c>
      <x:c r="G1265" s="134" t="n">
        <x:v>0</x:v>
      </x:c>
      <x:c r="H1265" s="134" t="n">
        <x:v>1528</x:v>
      </x:c>
      <x:c r="I1265" s="134" t="n">
        <x:v>1151</x:v>
      </x:c>
      <x:c r="J1265" s="133" t="n">
        <x:v>48.83349312879514</x:v>
      </x:c>
      <x:c r="K1265" s="133" t="n">
        <x:v>48.853989813242784</x:v>
      </x:c>
      <x:c r="L1265" s="133" t="n">
        <x:v>48.813559322033896</x:v>
      </x:c>
      <x:c r="M1265" s="133" t="n">
        <x:v>48.82629107981221</x:v>
      </x:c>
      <x:c r="N1265" s="133" t="n">
        <x:v>50</x:v>
      </x:c>
      <x:c r="O1265" s="133" t="n">
        <x:v>48.275862068965516</x:v>
      </x:c>
      <x:c r="P1265" s="132"/>
    </x:row>
    <x:row r="1266">
      <x:c r="A1266" s="136" t="str">
        <x:v>01117030616</x:v>
      </x:c>
      <x:c r="B1266" s="132" t="str">
        <x:v>Shelby County</x:v>
      </x:c>
      <x:c r="C1266" s="132" t="n">
        <x:v>1</x:v>
      </x:c>
      <x:c r="D1266" s="134" t="n">
        <x:v>2810</x:v>
      </x:c>
      <x:c r="E1266" s="133" t="n">
        <x:v>3.8</x:v>
      </x:c>
      <x:c r="F1266" s="134" t="n">
        <x:v>2222</x:v>
      </x:c>
      <x:c r="G1266" s="134" t="n">
        <x:v>0</x:v>
      </x:c>
      <x:c r="H1266" s="134" t="n">
        <x:v>1515</x:v>
      </x:c>
      <x:c r="I1266" s="134" t="n">
        <x:v>1198</x:v>
      </x:c>
      <x:c r="J1266" s="133" t="n">
        <x:v>53.91459074733096</x:v>
      </x:c>
      <x:c r="K1266" s="133" t="n">
        <x:v>53.915391539153916</x:v>
      </x:c>
      <x:c r="L1266" s="133" t="n">
        <x:v>54.003139717425434</x:v>
      </x:c>
      <x:c r="M1266" s="133" t="n">
        <x:v>53.98981324278438</x:v>
      </x:c>
      <x:c r="N1266" s="133" t="n">
        <x:v>54.76190476190476</x:v>
      </x:c>
      <x:c r="O1266" s="133"/>
      <x:c r="P1266" s="132"/>
    </x:row>
    <x:row r="1267">
      <x:c r="A1267" s="136" t="str">
        <x:v>01101005414</x:v>
      </x:c>
      <x:c r="B1267" s="132" t="str">
        <x:v>Montgomery County</x:v>
      </x:c>
      <x:c r="C1267" s="132" t="n">
        <x:v>1</x:v>
      </x:c>
      <x:c r="D1267" s="134" t="n">
        <x:v>3945</x:v>
      </x:c>
      <x:c r="E1267" s="133" t="n">
        <x:v>4.6</x:v>
      </x:c>
      <x:c r="F1267" s="134" t="n">
        <x:v>3804</x:v>
      </x:c>
      <x:c r="G1267" s="134" t="n">
        <x:v>0</x:v>
      </x:c>
      <x:c r="H1267" s="134" t="n">
        <x:v>1252</x:v>
      </x:c>
      <x:c r="I1267" s="134" t="n">
        <x:v>1207</x:v>
      </x:c>
      <x:c r="J1267" s="133" t="n">
        <x:v>31.73637515842839</x:v>
      </x:c>
      <x:c r="K1267" s="133" t="n">
        <x:v>31.72975814931651</x:v>
      </x:c>
      <x:c r="L1267" s="133" t="n">
        <x:v>31.675675675675677</x:v>
      </x:c>
      <x:c r="M1267" s="133" t="n">
        <x:v>31.72043010752688</x:v>
      </x:c>
      <x:c r="N1267" s="133" t="n">
        <x:v>33.333333333333336</x:v>
      </x:c>
      <x:c r="O1267" s="133" t="n">
        <x:v>31.799163179916317</x:v>
      </x:c>
      <x:c r="P1267" s="132"/>
    </x:row>
    <x:row r="1268">
      <x:c r="A1268" s="136" t="str">
        <x:v>01059973200</x:v>
      </x:c>
      <x:c r="B1268" s="132" t="str">
        <x:v>Franklin County</x:v>
      </x:c>
      <x:c r="C1268" s="132" t="n">
        <x:v>1</x:v>
      </x:c>
      <x:c r="D1268" s="134" t="n">
        <x:v>4243</x:v>
      </x:c>
      <x:c r="E1268" s="133" t="n">
        <x:v>11.4</x:v>
      </x:c>
      <x:c r="F1268" s="134" t="n">
        <x:v>2765</x:v>
      </x:c>
      <x:c r="G1268" s="134" t="n">
        <x:v>0</x:v>
      </x:c>
      <x:c r="H1268" s="134" t="n">
        <x:v>1916</x:v>
      </x:c>
      <x:c r="I1268" s="134" t="n">
        <x:v>1248</x:v>
      </x:c>
      <x:c r="J1268" s="133" t="n">
        <x:v>45.1567287296724</x:v>
      </x:c>
      <x:c r="K1268" s="133" t="n">
        <x:v>45.13562386980109</x:v>
      </x:c>
      <x:c r="L1268" s="133" t="n">
        <x:v>45.166531275385864</x:v>
      </x:c>
      <x:c r="M1268" s="133" t="n">
        <x:v>45.193929173693085</x:v>
      </x:c>
      <x:c r="N1268" s="133" t="n">
        <x:v>45.370370370370374</x:v>
      </x:c>
      <x:c r="O1268" s="133" t="n">
        <x:v>45.18716577540107</x:v>
      </x:c>
      <x:c r="P1268" s="132"/>
    </x:row>
    <x:row r="1269">
      <x:c r="A1269" s="136" t="str">
        <x:v>01073011108</x:v>
      </x:c>
      <x:c r="B1269" s="132" t="str">
        <x:v>Jefferson County</x:v>
      </x:c>
      <x:c r="C1269" s="132" t="n">
        <x:v>1</x:v>
      </x:c>
      <x:c r="D1269" s="134" t="n">
        <x:v>5172</x:v>
      </x:c>
      <x:c r="E1269" s="133" t="n">
        <x:v>3.1</x:v>
      </x:c>
      <x:c r="F1269" s="134" t="n">
        <x:v>4105</x:v>
      </x:c>
      <x:c r="G1269" s="134" t="n">
        <x:v>0</x:v>
      </x:c>
      <x:c r="H1269" s="134" t="n">
        <x:v>1579</x:v>
      </x:c>
      <x:c r="I1269" s="134" t="n">
        <x:v>1253</x:v>
      </x:c>
      <x:c r="J1269" s="133" t="n">
        <x:v>30.529775715390564</x:v>
      </x:c>
      <x:c r="K1269" s="133" t="n">
        <x:v>30.523751522533495</x:v>
      </x:c>
      <x:c r="L1269" s="133" t="n">
        <x:v>30.488888888888887</x:v>
      </x:c>
      <x:c r="M1269" s="133" t="n">
        <x:v>30.563250230840257</x:v>
      </x:c>
      <x:c r="N1269" s="133" t="n">
        <x:v>30</x:v>
      </x:c>
      <x:c r="O1269" s="133" t="n">
        <x:v>31.57894736842105</x:v>
      </x:c>
      <x:c r="P1269" s="132"/>
    </x:row>
    <x:row r="1270">
      <x:c r="A1270" s="136" t="str">
        <x:v>01055010202</x:v>
      </x:c>
      <x:c r="B1270" s="132" t="str">
        <x:v>Etowah County</x:v>
      </x:c>
      <x:c r="C1270" s="132" t="n">
        <x:v>1</x:v>
      </x:c>
      <x:c r="D1270" s="134" t="n">
        <x:v>2563</x:v>
      </x:c>
      <x:c r="E1270" s="133" t="n">
        <x:v>9.6</x:v>
      </x:c>
      <x:c r="F1270" s="134" t="n">
        <x:v>2051</x:v>
      </x:c>
      <x:c r="G1270" s="134" t="n">
        <x:v>0</x:v>
      </x:c>
      <x:c r="H1270" s="134" t="n">
        <x:v>1577</x:v>
      </x:c>
      <x:c r="I1270" s="134" t="n">
        <x:v>1262</x:v>
      </x:c>
      <x:c r="J1270" s="133" t="n">
        <x:v>61.52945766679672</x:v>
      </x:c>
      <x:c r="K1270" s="133" t="n">
        <x:v>61.53096050706972</x:v>
      </x:c>
      <x:c r="L1270" s="133" t="n">
        <x:v>61.57989228007181</x:v>
      </x:c>
      <x:c r="M1270" s="133" t="n">
        <x:v>61.51012891344383</x:v>
      </x:c>
      <x:c r="N1270" s="133" t="n">
        <x:v>61.904761904761905</x:v>
      </x:c>
      <x:c r="O1270" s="133" t="n">
        <x:v>61.81818181818182</x:v>
      </x:c>
      <x:c r="P1270" s="132"/>
    </x:row>
    <x:row r="1271">
      <x:c r="A1271" s="136" t="str">
        <x:v>01089011025</x:v>
      </x:c>
      <x:c r="B1271" s="132" t="str">
        <x:v>Madison County</x:v>
      </x:c>
      <x:c r="C1271" s="132" t="n">
        <x:v>1</x:v>
      </x:c>
      <x:c r="D1271" s="134" t="n">
        <x:v>6838</x:v>
      </x:c>
      <x:c r="E1271" s="133" t="n">
        <x:v>5.1</x:v>
      </x:c>
      <x:c r="F1271" s="134" t="n">
        <x:v>5455</x:v>
      </x:c>
      <x:c r="G1271" s="134" t="n">
        <x:v>0</x:v>
      </x:c>
      <x:c r="H1271" s="134" t="n">
        <x:v>1623</x:v>
      </x:c>
      <x:c r="I1271" s="134" t="n">
        <x:v>1295</x:v>
      </x:c>
      <x:c r="J1271" s="133" t="n">
        <x:v>23.73501023691138</x:v>
      </x:c>
      <x:c r="K1271" s="133" t="n">
        <x:v>23.73968835930339</x:v>
      </x:c>
      <x:c r="L1271" s="133" t="n">
        <x:v>23.732357553580762</x:v>
      </x:c>
      <x:c r="M1271" s="133" t="n">
        <x:v>23.680823680823682</x:v>
      </x:c>
      <x:c r="N1271" s="133" t="n">
        <x:v>23.25581395348837</x:v>
      </x:c>
      <x:c r="O1271" s="133" t="n">
        <x:v>24.050632911392405</x:v>
      </x:c>
      <x:c r="P1271" s="132"/>
    </x:row>
    <x:row r="1272">
      <x:c r="A1272" s="136" t="str">
        <x:v>01015001000</x:v>
      </x:c>
      <x:c r="B1272" s="132" t="str">
        <x:v>Calhoun County</x:v>
      </x:c>
      <x:c r="C1272" s="132" t="n">
        <x:v>1</x:v>
      </x:c>
      <x:c r="D1272" s="134" t="n">
        <x:v>5718</x:v>
      </x:c>
      <x:c r="E1272" s="133" t="n">
        <x:v>9.8</x:v>
      </x:c>
      <x:c r="F1272" s="134" t="n">
        <x:v>3415</x:v>
      </x:c>
      <x:c r="G1272" s="134" t="n">
        <x:v>0</x:v>
      </x:c>
      <x:c r="H1272" s="134" t="n">
        <x:v>2181</x:v>
      </x:c>
      <x:c r="I1272" s="134" t="n">
        <x:v>1303</x:v>
      </x:c>
      <x:c r="J1272" s="133" t="n">
        <x:v>38.14270724029381</x:v>
      </x:c>
      <x:c r="K1272" s="133" t="n">
        <x:v>38.15519765739385</x:v>
      </x:c>
      <x:c r="L1272" s="133" t="n">
        <x:v>38.17307692307692</x:v>
      </x:c>
      <x:c r="M1272" s="133" t="n">
        <x:v>38.16075307748009</x:v>
      </x:c>
      <x:c r="N1272" s="133" t="n">
        <x:v>38.297872340425535</x:v>
      </x:c>
      <x:c r="O1272" s="133" t="n">
        <x:v>38.07339449541284</x:v>
      </x:c>
      <x:c r="P1272" s="132"/>
    </x:row>
    <x:row r="1273">
      <x:c r="A1273" s="136" t="str">
        <x:v>01097005602</x:v>
      </x:c>
      <x:c r="B1273" s="132" t="str">
        <x:v>Mobile County</x:v>
      </x:c>
      <x:c r="C1273" s="132" t="n">
        <x:v>1</x:v>
      </x:c>
      <x:c r="D1273" s="134" t="n">
        <x:v>4593</x:v>
      </x:c>
      <x:c r="E1273" s="133" t="n">
        <x:v>8.9</x:v>
      </x:c>
      <x:c r="F1273" s="134" t="n">
        <x:v>3749</x:v>
      </x:c>
      <x:c r="G1273" s="134" t="n">
        <x:v>0</x:v>
      </x:c>
      <x:c r="H1273" s="134" t="n">
        <x:v>1598</x:v>
      </x:c>
      <x:c r="I1273" s="134" t="n">
        <x:v>1304</x:v>
      </x:c>
      <x:c r="J1273" s="133" t="n">
        <x:v>34.79207489658175</x:v>
      </x:c>
      <x:c r="K1273" s="133" t="n">
        <x:v>34.78260869565217</x:v>
      </x:c>
      <x:c r="L1273" s="133" t="n">
        <x:v>34.81481481481482</x:v>
      </x:c>
      <x:c r="M1273" s="133" t="n">
        <x:v>34.8502994011976</x:v>
      </x:c>
      <x:c r="N1273" s="133" t="n">
        <x:v>36</x:v>
      </x:c>
      <x:c r="O1273" s="133" t="n">
        <x:v>34.59915611814346</x:v>
      </x:c>
      <x:c r="P1273" s="132"/>
    </x:row>
    <x:row r="1274">
      <x:c r="A1274" s="136" t="str">
        <x:v>01015000900</x:v>
      </x:c>
      <x:c r="B1274" s="132" t="str">
        <x:v>Calhoun County</x:v>
      </x:c>
      <x:c r="C1274" s="132" t="n">
        <x:v>1</x:v>
      </x:c>
      <x:c r="D1274" s="134" t="n">
        <x:v>3417</x:v>
      </x:c>
      <x:c r="E1274" s="133" t="n">
        <x:v>4</x:v>
      </x:c>
      <x:c r="F1274" s="134" t="n">
        <x:v>2657</x:v>
      </x:c>
      <x:c r="G1274" s="134" t="n">
        <x:v>0</x:v>
      </x:c>
      <x:c r="H1274" s="134" t="n">
        <x:v>1697</x:v>
      </x:c>
      <x:c r="I1274" s="134" t="n">
        <x:v>1320</x:v>
      </x:c>
      <x:c r="J1274" s="133" t="n">
        <x:v>49.66344746853965</x:v>
      </x:c>
      <x:c r="K1274" s="133" t="n">
        <x:v>49.68009032743696</x:v>
      </x:c>
      <x:c r="L1274" s="133" t="n">
        <x:v>49.61977186311787</x:v>
      </x:c>
      <x:c r="M1274" s="133" t="n">
        <x:v>49.65034965034965</x:v>
      </x:c>
      <x:c r="N1274" s="133" t="n">
        <x:v>50</x:v>
      </x:c>
      <x:c r="O1274" s="133" t="n">
        <x:v>49.829351535836174</x:v>
      </x:c>
      <x:c r="P1274" s="132"/>
    </x:row>
    <x:row r="1275">
      <x:c r="A1275" s="136" t="str">
        <x:v>01055000400</x:v>
      </x:c>
      <x:c r="B1275" s="132" t="str">
        <x:v>Etowah County</x:v>
      </x:c>
      <x:c r="C1275" s="132" t="n">
        <x:v>1</x:v>
      </x:c>
      <x:c r="D1275" s="134" t="n">
        <x:v>3947</x:v>
      </x:c>
      <x:c r="E1275" s="133" t="n">
        <x:v>13.5</x:v>
      </x:c>
      <x:c r="F1275" s="134" t="n">
        <x:v>2373</x:v>
      </x:c>
      <x:c r="G1275" s="134" t="n">
        <x:v>0</x:v>
      </x:c>
      <x:c r="H1275" s="134" t="n">
        <x:v>2218</x:v>
      </x:c>
      <x:c r="I1275" s="134" t="n">
        <x:v>1333</x:v>
      </x:c>
      <x:c r="J1275" s="133" t="n">
        <x:v>56.194578160628325</x:v>
      </x:c>
      <x:c r="K1275" s="133" t="n">
        <x:v>56.17361989043405</x:v>
      </x:c>
      <x:c r="L1275" s="133" t="n">
        <x:v>56.20998719590269</x:v>
      </x:c>
      <x:c r="M1275" s="133" t="n">
        <x:v>56.15866388308977</x:v>
      </x:c>
      <x:c r="N1275" s="133" t="n">
        <x:v>55.81395348837209</x:v>
      </x:c>
      <x:c r="O1275" s="133" t="n">
        <x:v>56.06936416184971</x:v>
      </x:c>
      <x:c r="P1275" s="132"/>
    </x:row>
    <x:row r="1276">
      <x:c r="A1276" s="136" t="str">
        <x:v>01089011021</x:v>
      </x:c>
      <x:c r="B1276" s="132" t="str">
        <x:v>Madison County</x:v>
      </x:c>
      <x:c r="C1276" s="132" t="n">
        <x:v>1</x:v>
      </x:c>
      <x:c r="D1276" s="134" t="n">
        <x:v>5297</x:v>
      </x:c>
      <x:c r="E1276" s="133" t="n">
        <x:v>13.9</x:v>
      </x:c>
      <x:c r="F1276" s="134" t="n">
        <x:v>3441</x:v>
      </x:c>
      <x:c r="G1276" s="134" t="n">
        <x:v>0</x:v>
      </x:c>
      <x:c r="H1276" s="134" t="n">
        <x:v>2057</x:v>
      </x:c>
      <x:c r="I1276" s="134" t="n">
        <x:v>1337</x:v>
      </x:c>
      <x:c r="J1276" s="133" t="n">
        <x:v>38.833301868982446</x:v>
      </x:c>
      <x:c r="K1276" s="133" t="n">
        <x:v>38.85498401627434</x:v>
      </x:c>
      <x:c r="L1276" s="133" t="n">
        <x:v>38.85245901639344</x:v>
      </x:c>
      <x:c r="M1276" s="133" t="n">
        <x:v>38.91050583657587</x:v>
      </x:c>
      <x:c r="N1276" s="133" t="n">
        <x:v>39.21568627450981</x:v>
      </x:c>
      <x:c r="O1276" s="133" t="n">
        <x:v>39.00709219858156</x:v>
      </x:c>
      <x:c r="P1276" s="132"/>
    </x:row>
    <x:row r="1277">
      <x:c r="A1277" s="136" t="str">
        <x:v>01089001903</x:v>
      </x:c>
      <x:c r="B1277" s="132" t="str">
        <x:v>Madison County</x:v>
      </x:c>
      <x:c r="C1277" s="132" t="n">
        <x:v>1</x:v>
      </x:c>
      <x:c r="D1277" s="134" t="n">
        <x:v>2419</x:v>
      </x:c>
      <x:c r="E1277" s="133" t="n">
        <x:v>3.1</x:v>
      </x:c>
      <x:c r="F1277" s="134" t="n">
        <x:v>1855</x:v>
      </x:c>
      <x:c r="G1277" s="134" t="n">
        <x:v>0</x:v>
      </x:c>
      <x:c r="H1277" s="134" t="n">
        <x:v>1751</x:v>
      </x:c>
      <x:c r="I1277" s="134" t="n">
        <x:v>1343</x:v>
      </x:c>
      <x:c r="J1277" s="133" t="n">
        <x:v>72.38528317486565</x:v>
      </x:c>
      <x:c r="K1277" s="133" t="n">
        <x:v>72.3989218328841</x:v>
      </x:c>
      <x:c r="L1277" s="133" t="n">
        <x:v>72.46376811594203</x:v>
      </x:c>
      <x:c r="M1277" s="133" t="n">
        <x:v>72.34042553191489</x:v>
      </x:c>
      <x:c r="N1277" s="133" t="n">
        <x:v>80</x:v>
      </x:c>
      <x:c r="O1277" s="133" t="n">
        <x:v>75</x:v>
      </x:c>
      <x:c r="P1277" s="132"/>
    </x:row>
    <x:row r="1278">
      <x:c r="A1278" s="136" t="str">
        <x:v>01021060101</x:v>
      </x:c>
      <x:c r="B1278" s="132" t="str">
        <x:v>Chilton County</x:v>
      </x:c>
      <x:c r="C1278" s="132" t="n">
        <x:v>1</x:v>
      </x:c>
      <x:c r="D1278" s="134" t="n">
        <x:v>5136</x:v>
      </x:c>
      <x:c r="E1278" s="133" t="n">
        <x:v>17.6</x:v>
      </x:c>
      <x:c r="F1278" s="134" t="n">
        <x:v>3016</x:v>
      </x:c>
      <x:c r="G1278" s="134" t="n">
        <x:v>0</x:v>
      </x:c>
      <x:c r="H1278" s="134" t="n">
        <x:v>2291</x:v>
      </x:c>
      <x:c r="I1278" s="134" t="n">
        <x:v>1345</x:v>
      </x:c>
      <x:c r="J1278" s="133" t="n">
        <x:v>44.60669781931464</x:v>
      </x:c>
      <x:c r="K1278" s="133" t="n">
        <x:v>44.59549071618037</x:v>
      </x:c>
      <x:c r="L1278" s="133" t="n">
        <x:v>44.56800684345595</x:v>
      </x:c>
      <x:c r="M1278" s="133" t="n">
        <x:v>44.60352422907489</x:v>
      </x:c>
      <x:c r="N1278" s="133" t="n">
        <x:v>46.15384615384615</x:v>
      </x:c>
      <x:c r="O1278" s="133" t="n">
        <x:v>44.67713787085515</x:v>
      </x:c>
      <x:c r="P1278" s="132"/>
    </x:row>
    <x:row r="1279">
      <x:c r="A1279" s="136" t="str">
        <x:v>01073011710</x:v>
      </x:c>
      <x:c r="B1279" s="132" t="str">
        <x:v>Jefferson County</x:v>
      </x:c>
      <x:c r="C1279" s="132" t="n">
        <x:v>1</x:v>
      </x:c>
      <x:c r="D1279" s="134" t="n">
        <x:v>3721</x:v>
      </x:c>
      <x:c r="E1279" s="133" t="n">
        <x:v>3.1</x:v>
      </x:c>
      <x:c r="F1279" s="134" t="n">
        <x:v>2570</x:v>
      </x:c>
      <x:c r="G1279" s="134" t="n">
        <x:v>0</x:v>
      </x:c>
      <x:c r="H1279" s="134" t="n">
        <x:v>1958</x:v>
      </x:c>
      <x:c r="I1279" s="134" t="n">
        <x:v>1353</x:v>
      </x:c>
      <x:c r="J1279" s="133" t="n">
        <x:v>52.620263370061814</x:v>
      </x:c>
      <x:c r="K1279" s="133" t="n">
        <x:v>52.64591439688716</x:v>
      </x:c>
      <x:c r="L1279" s="133" t="n">
        <x:v>52.58152173913044</x:v>
      </x:c>
      <x:c r="M1279" s="133" t="n">
        <x:v>52.582159624413144</x:v>
      </x:c>
      <x:c r="N1279" s="133" t="n">
        <x:v>52.459016393442624</x:v>
      </x:c>
      <x:c r="O1279" s="133" t="n">
        <x:v>51.851851851851855</x:v>
      </x:c>
      <x:c r="P1279" s="132"/>
    </x:row>
    <x:row r="1280">
      <x:c r="A1280" s="136" t="str">
        <x:v>01103005108</x:v>
      </x:c>
      <x:c r="B1280" s="132" t="str">
        <x:v>Morgan County</x:v>
      </x:c>
      <x:c r="C1280" s="132" t="n">
        <x:v>1</x:v>
      </x:c>
      <x:c r="D1280" s="134" t="n">
        <x:v>3847</x:v>
      </x:c>
      <x:c r="E1280" s="133" t="n">
        <x:v>5.4</x:v>
      </x:c>
      <x:c r="F1280" s="134" t="n">
        <x:v>3353</x:v>
      </x:c>
      <x:c r="G1280" s="134" t="n">
        <x:v>0</x:v>
      </x:c>
      <x:c r="H1280" s="134" t="n">
        <x:v>1564</x:v>
      </x:c>
      <x:c r="I1280" s="134" t="n">
        <x:v>1364</x:v>
      </x:c>
      <x:c r="J1280" s="133" t="n">
        <x:v>40.655055887704705</x:v>
      </x:c>
      <x:c r="K1280" s="133" t="n">
        <x:v>40.67998807038473</x:v>
      </x:c>
      <x:c r="L1280" s="133" t="n">
        <x:v>40.63694267515923</x:v>
      </x:c>
      <x:c r="M1280" s="133" t="n">
        <x:v>40.66073697585769</x:v>
      </x:c>
      <x:c r="N1280" s="133" t="n">
        <x:v>40.35087719298246</x:v>
      </x:c>
      <x:c r="O1280" s="133" t="n">
        <x:v>40.61135371179039</x:v>
      </x:c>
      <x:c r="P1280" s="132"/>
    </x:row>
    <x:row r="1281">
      <x:c r="A1281" s="136" t="str">
        <x:v>01125012403</x:v>
      </x:c>
      <x:c r="B1281" s="132" t="str">
        <x:v>Tuscaloosa County</x:v>
      </x:c>
      <x:c r="C1281" s="132" t="n">
        <x:v>1</x:v>
      </x:c>
      <x:c r="D1281" s="134" t="n">
        <x:v>4692</x:v>
      </x:c>
      <x:c r="E1281" s="133" t="n">
        <x:v>5.4</x:v>
      </x:c>
      <x:c r="F1281" s="134" t="n">
        <x:v>3125</x:v>
      </x:c>
      <x:c r="G1281" s="134" t="n">
        <x:v>0</x:v>
      </x:c>
      <x:c r="H1281" s="134" t="n">
        <x:v>2050</x:v>
      </x:c>
      <x:c r="I1281" s="134" t="n">
        <x:v>1365</x:v>
      </x:c>
      <x:c r="J1281" s="133" t="n">
        <x:v>43.691389599317986</x:v>
      </x:c>
      <x:c r="K1281" s="133" t="n">
        <x:v>43.68</x:v>
      </x:c>
      <x:c r="L1281" s="133" t="n">
        <x:v>43.73205741626794</x:v>
      </x:c>
      <x:c r="M1281" s="133" t="n">
        <x:v>43.75</x:v>
      </x:c>
      <x:c r="N1281" s="133" t="n">
        <x:v>43.90243902439025</x:v>
      </x:c>
      <x:c r="O1281" s="133" t="n">
        <x:v>43.712574850299404</x:v>
      </x:c>
      <x:c r="P1281" s="132"/>
    </x:row>
    <x:row r="1282">
      <x:c r="A1282" s="136" t="str">
        <x:v>01117030306</x:v>
      </x:c>
      <x:c r="B1282" s="132" t="str">
        <x:v>Shelby County</x:v>
      </x:c>
      <x:c r="C1282" s="132" t="n">
        <x:v>1</x:v>
      </x:c>
      <x:c r="D1282" s="134" t="n">
        <x:v>3866</x:v>
      </x:c>
      <x:c r="E1282" s="133" t="n">
        <x:v>18.3</x:v>
      </x:c>
      <x:c r="F1282" s="134" t="n">
        <x:v>2583</x:v>
      </x:c>
      <x:c r="G1282" s="134" t="n">
        <x:v>0</x:v>
      </x:c>
      <x:c r="H1282" s="134" t="n">
        <x:v>2048</x:v>
      </x:c>
      <x:c r="I1282" s="134" t="n">
        <x:v>1368</x:v>
      </x:c>
      <x:c r="J1282" s="133" t="n">
        <x:v>52.97465080186239</x:v>
      </x:c>
      <x:c r="K1282" s="133" t="n">
        <x:v>52.961672473867594</x:v>
      </x:c>
      <x:c r="L1282" s="133" t="n">
        <x:v>52.96482412060301</x:v>
      </x:c>
      <x:c r="M1282" s="133" t="n">
        <x:v>52.976190476190474</x:v>
      </x:c>
      <x:c r="N1282" s="133" t="n">
        <x:v>53.57142857142857</x:v>
      </x:c>
      <x:c r="O1282" s="133" t="n">
        <x:v>53.097345132743364</x:v>
      </x:c>
      <x:c r="P1282" s="132"/>
    </x:row>
    <x:row r="1283">
      <x:c r="A1283" s="136" t="str">
        <x:v>01015002102</x:v>
      </x:c>
      <x:c r="B1283" s="132" t="str">
        <x:v>Calhoun County</x:v>
      </x:c>
      <x:c r="C1283" s="132" t="n">
        <x:v>1</x:v>
      </x:c>
      <x:c r="D1283" s="134" t="n">
        <x:v>3243</x:v>
      </x:c>
      <x:c r="E1283" s="133" t="n">
        <x:v>13.2</x:v>
      </x:c>
      <x:c r="F1283" s="134" t="n">
        <x:v>2687</x:v>
      </x:c>
      <x:c r="G1283" s="134" t="n">
        <x:v>0</x:v>
      </x:c>
      <x:c r="H1283" s="134" t="n">
        <x:v>1662</x:v>
      </x:c>
      <x:c r="I1283" s="134" t="n">
        <x:v>1377</x:v>
      </x:c>
      <x:c r="J1283" s="133" t="n">
        <x:v>51.24884366327475</x:v>
      </x:c>
      <x:c r="K1283" s="133" t="n">
        <x:v>51.24674358020097</x:v>
      </x:c>
      <x:c r="L1283" s="133" t="n">
        <x:v>51.19047619047619</x:v>
      </x:c>
      <x:c r="M1283" s="133" t="n">
        <x:v>51.31375579598145</x:v>
      </x:c>
      <x:c r="N1283" s="133" t="n">
        <x:v>50</x:v>
      </x:c>
      <x:c r="O1283" s="133" t="n">
        <x:v>50</x:v>
      </x:c>
      <x:c r="P1283" s="132"/>
    </x:row>
    <x:row r="1284">
      <x:c r="A1284" s="136" t="str">
        <x:v>01021060103</x:v>
      </x:c>
      <x:c r="B1284" s="132" t="str">
        <x:v>Chilton County</x:v>
      </x:c>
      <x:c r="C1284" s="132" t="n">
        <x:v>1</x:v>
      </x:c>
      <x:c r="D1284" s="134" t="n">
        <x:v>3310</x:v>
      </x:c>
      <x:c r="E1284" s="133" t="n">
        <x:v>8.4</x:v>
      </x:c>
      <x:c r="F1284" s="134" t="n">
        <x:v>1769</x:v>
      </x:c>
      <x:c r="G1284" s="134" t="n">
        <x:v>0</x:v>
      </x:c>
      <x:c r="H1284" s="134" t="n">
        <x:v>2588</x:v>
      </x:c>
      <x:c r="I1284" s="134" t="n">
        <x:v>1383</x:v>
      </x:c>
      <x:c r="J1284" s="133" t="n">
        <x:v>78.18731117824774</x:v>
      </x:c>
      <x:c r="K1284" s="133" t="n">
        <x:v>78.17976257772753</x:v>
      </x:c>
      <x:c r="L1284" s="133" t="n">
        <x:v>78.17969661610269</x:v>
      </x:c>
      <x:c r="M1284" s="133" t="n">
        <x:v>78.13688212927757</x:v>
      </x:c>
      <x:c r="N1284" s="133" t="n">
        <x:v>75</x:v>
      </x:c>
      <x:c r="O1284" s="133" t="n">
        <x:v>78.43137254901961</x:v>
      </x:c>
      <x:c r="P1284" s="132"/>
    </x:row>
    <x:row r="1285">
      <x:c r="A1285" s="136" t="str">
        <x:v>01073010801</x:v>
      </x:c>
      <x:c r="B1285" s="132" t="str">
        <x:v>Jefferson County</x:v>
      </x:c>
      <x:c r="C1285" s="132" t="n">
        <x:v>1</x:v>
      </x:c>
      <x:c r="D1285" s="134" t="n">
        <x:v>7112</x:v>
      </x:c>
      <x:c r="E1285" s="133" t="n">
        <x:v>3.3</x:v>
      </x:c>
      <x:c r="F1285" s="134" t="n">
        <x:v>6773</x:v>
      </x:c>
      <x:c r="G1285" s="134" t="n">
        <x:v>0</x:v>
      </x:c>
      <x:c r="H1285" s="134" t="n">
        <x:v>1462</x:v>
      </x:c>
      <x:c r="I1285" s="134" t="n">
        <x:v>1393</x:v>
      </x:c>
      <x:c r="J1285" s="133" t="n">
        <x:v>20.556805399325086</x:v>
      </x:c>
      <x:c r="K1285" s="133" t="n">
        <x:v>20.56695703528717</x:v>
      </x:c>
      <x:c r="L1285" s="133" t="n">
        <x:v>20.563035495716033</x:v>
      </x:c>
      <x:c r="M1285" s="133" t="n">
        <x:v>20.545609548167093</x:v>
      </x:c>
      <x:c r="N1285" s="133" t="n">
        <x:v>20.689655172413794</x:v>
      </x:c>
      <x:c r="O1285" s="133"/>
      <x:c r="P1285" s="132"/>
    </x:row>
    <x:row r="1286">
      <x:c r="A1286" s="136" t="str">
        <x:v>01101002600</x:v>
      </x:c>
      <x:c r="B1286" s="132" t="str">
        <x:v>Montgomery County</x:v>
      </x:c>
      <x:c r="C1286" s="132" t="n">
        <x:v>1</x:v>
      </x:c>
      <x:c r="D1286" s="134" t="n">
        <x:v>5458</x:v>
      </x:c>
      <x:c r="E1286" s="133" t="n">
        <x:v>11.1</x:v>
      </x:c>
      <x:c r="F1286" s="134" t="n">
        <x:v>3885</x:v>
      </x:c>
      <x:c r="G1286" s="134" t="n">
        <x:v>0</x:v>
      </x:c>
      <x:c r="H1286" s="134" t="n">
        <x:v>1977</x:v>
      </x:c>
      <x:c r="I1286" s="134" t="n">
        <x:v>1408</x:v>
      </x:c>
      <x:c r="J1286" s="133" t="n">
        <x:v>36.22205936240381</x:v>
      </x:c>
      <x:c r="K1286" s="133" t="n">
        <x:v>36.241956241956245</x:v>
      </x:c>
      <x:c r="L1286" s="133" t="n">
        <x:v>36.19631901840491</x:v>
      </x:c>
      <x:c r="M1286" s="133" t="n">
        <x:v>36.225895316804404</x:v>
      </x:c>
      <x:c r="N1286" s="133" t="n">
        <x:v>37.142857142857146</x:v>
      </x:c>
      <x:c r="O1286" s="133" t="n">
        <x:v>36.241610738255034</x:v>
      </x:c>
      <x:c r="P1286" s="132"/>
    </x:row>
    <x:row r="1287">
      <x:c r="A1287" s="136" t="str">
        <x:v>01103000200</x:v>
      </x:c>
      <x:c r="B1287" s="132" t="str">
        <x:v>Morgan County</x:v>
      </x:c>
      <x:c r="C1287" s="132" t="n">
        <x:v>1</x:v>
      </x:c>
      <x:c r="D1287" s="134" t="n">
        <x:v>3696</x:v>
      </x:c>
      <x:c r="E1287" s="133" t="n">
        <x:v>4</x:v>
      </x:c>
      <x:c r="F1287" s="134" t="n">
        <x:v>2924</x:v>
      </x:c>
      <x:c r="G1287" s="134" t="n">
        <x:v>0</x:v>
      </x:c>
      <x:c r="H1287" s="134" t="n">
        <x:v>1785</x:v>
      </x:c>
      <x:c r="I1287" s="134" t="n">
        <x:v>1412</x:v>
      </x:c>
      <x:c r="J1287" s="133" t="n">
        <x:v>48.29545454545455</x:v>
      </x:c>
      <x:c r="K1287" s="133" t="n">
        <x:v>48.29001367989056</x:v>
      </x:c>
      <x:c r="L1287" s="133" t="n">
        <x:v>48.275862068965516</x:v>
      </x:c>
      <x:c r="M1287" s="133" t="n">
        <x:v>48.25806451612903</x:v>
      </x:c>
      <x:c r="N1287" s="133" t="n">
        <x:v>48.888888888888886</x:v>
      </x:c>
      <x:c r="O1287" s="133" t="n">
        <x:v>48.07692307692308</x:v>
      </x:c>
      <x:c r="P1287" s="132"/>
    </x:row>
    <x:row r="1288">
      <x:c r="A1288" s="136" t="str">
        <x:v>01001020600</x:v>
      </x:c>
      <x:c r="B1288" s="132" t="str">
        <x:v>Autauga County</x:v>
      </x:c>
      <x:c r="C1288" s="132" t="n">
        <x:v>1</x:v>
      </x:c>
      <x:c r="D1288" s="134" t="n">
        <x:v>3729</x:v>
      </x:c>
      <x:c r="E1288" s="133" t="n">
        <x:v>10.4</x:v>
      </x:c>
      <x:c r="F1288" s="134" t="n">
        <x:v>2488</x:v>
      </x:c>
      <x:c r="G1288" s="134" t="n">
        <x:v>0</x:v>
      </x:c>
      <x:c r="H1288" s="134" t="n">
        <x:v>2127</x:v>
      </x:c>
      <x:c r="I1288" s="134" t="n">
        <x:v>1419</x:v>
      </x:c>
      <x:c r="J1288" s="133" t="n">
        <x:v>57.03942075623492</x:v>
      </x:c>
      <x:c r="K1288" s="133" t="n">
        <x:v>57.033762057877816</x:v>
      </x:c>
      <x:c r="L1288" s="133" t="n">
        <x:v>57.02393340270552</x:v>
      </x:c>
      <x:c r="M1288" s="133" t="n">
        <x:v>57.01754385964912</x:v>
      </x:c>
      <x:c r="N1288" s="133" t="n">
        <x:v>54.54545454545455</x:v>
      </x:c>
      <x:c r="O1288" s="133" t="n">
        <x:v>56.75675675675676</x:v>
      </x:c>
      <x:c r="P1288" s="132"/>
    </x:row>
    <x:row r="1289">
      <x:c r="A1289" s="136" t="str">
        <x:v>01117030212</x:v>
      </x:c>
      <x:c r="B1289" s="132" t="str">
        <x:v>Shelby County</x:v>
      </x:c>
      <x:c r="C1289" s="132" t="n">
        <x:v>1</x:v>
      </x:c>
      <x:c r="D1289" s="134" t="n">
        <x:v>3607</x:v>
      </x:c>
      <x:c r="E1289" s="133" t="n">
        <x:v>6.8</x:v>
      </x:c>
      <x:c r="F1289" s="134" t="n">
        <x:v>2798</x:v>
      </x:c>
      <x:c r="G1289" s="134" t="n">
        <x:v>0</x:v>
      </x:c>
      <x:c r="H1289" s="134" t="n">
        <x:v>1840</x:v>
      </x:c>
      <x:c r="I1289" s="134" t="n">
        <x:v>1427</x:v>
      </x:c>
      <x:c r="J1289" s="133" t="n">
        <x:v>51.01192126420848</x:v>
      </x:c>
      <x:c r="K1289" s="133" t="n">
        <x:v>51.000714796283056</x:v>
      </x:c>
      <x:c r="L1289" s="133" t="n">
        <x:v>51.04364326375712</x:v>
      </x:c>
      <x:c r="M1289" s="133" t="n">
        <x:v>50.847457627118644</x:v>
      </x:c>
      <x:c r="N1289" s="133" t="n">
        <x:v>51.06382978723404</x:v>
      </x:c>
      <x:c r="O1289" s="133" t="n">
        <x:v>50</x:v>
      </x:c>
      <x:c r="P1289" s="132"/>
    </x:row>
    <x:row r="1290">
      <x:c r="A1290" s="136" t="str">
        <x:v>01089002911</x:v>
      </x:c>
      <x:c r="B1290" s="132" t="str">
        <x:v>Madison County</x:v>
      </x:c>
      <x:c r="C1290" s="132" t="n">
        <x:v>1</x:v>
      </x:c>
      <x:c r="D1290" s="134" t="n">
        <x:v>4489</x:v>
      </x:c>
      <x:c r="E1290" s="133" t="n">
        <x:v>3.5</x:v>
      </x:c>
      <x:c r="F1290" s="134" t="n">
        <x:v>3453</x:v>
      </x:c>
      <x:c r="G1290" s="134" t="n">
        <x:v>0</x:v>
      </x:c>
      <x:c r="H1290" s="134" t="n">
        <x:v>1856</x:v>
      </x:c>
      <x:c r="I1290" s="134" t="n">
        <x:v>1428</x:v>
      </x:c>
      <x:c r="J1290" s="133" t="n">
        <x:v>41.34551124972154</x:v>
      </x:c>
      <x:c r="K1290" s="133" t="n">
        <x:v>41.355343179843615</x:v>
      </x:c>
      <x:c r="L1290" s="133" t="n">
        <x:v>41.31868131868132</x:v>
      </x:c>
      <x:c r="M1290" s="133" t="n">
        <x:v>41.3022351797862</x:v>
      </x:c>
      <x:c r="N1290" s="133" t="n">
        <x:v>41.86046511627907</x:v>
      </x:c>
      <x:c r="O1290" s="133" t="n">
        <x:v>41.1764705882353</x:v>
      </x:c>
      <x:c r="P1290" s="132"/>
    </x:row>
    <x:row r="1291">
      <x:c r="A1291" s="136" t="str">
        <x:v>01077011101</x:v>
      </x:c>
      <x:c r="B1291" s="132" t="str">
        <x:v>Lauderdale County</x:v>
      </x:c>
      <x:c r="C1291" s="132" t="n">
        <x:v>1</x:v>
      </x:c>
      <x:c r="D1291" s="134" t="n">
        <x:v>5618</x:v>
      </x:c>
      <x:c r="E1291" s="133" t="n">
        <x:v>5.7</x:v>
      </x:c>
      <x:c r="F1291" s="134" t="n">
        <x:v>4431</x:v>
      </x:c>
      <x:c r="G1291" s="134" t="n">
        <x:v>0</x:v>
      </x:c>
      <x:c r="H1291" s="134" t="n">
        <x:v>1817</x:v>
      </x:c>
      <x:c r="I1291" s="134" t="n">
        <x:v>1433</x:v>
      </x:c>
      <x:c r="J1291" s="133" t="n">
        <x:v>32.34247063011748</x:v>
      </x:c>
      <x:c r="K1291" s="133" t="n">
        <x:v>32.3403294967276</x:v>
      </x:c>
      <x:c r="L1291" s="133" t="n">
        <x:v>32.32235701906413</x:v>
      </x:c>
      <x:c r="M1291" s="133" t="n">
        <x:v>32.31017770597738</x:v>
      </x:c>
      <x:c r="N1291" s="133" t="n">
        <x:v>32.25806451612903</x:v>
      </x:c>
      <x:c r="O1291" s="133" t="n">
        <x:v>32.30769230769231</x:v>
      </x:c>
      <x:c r="P1291" s="132"/>
    </x:row>
    <x:row r="1292">
      <x:c r="A1292" s="136" t="str">
        <x:v>01073012916</x:v>
      </x:c>
      <x:c r="B1292" s="132" t="str">
        <x:v>Jefferson County</x:v>
      </x:c>
      <x:c r="C1292" s="132" t="n">
        <x:v>1</x:v>
      </x:c>
      <x:c r="D1292" s="134" t="n">
        <x:v>3948</x:v>
      </x:c>
      <x:c r="E1292" s="133" t="n">
        <x:v>7.7</x:v>
      </x:c>
      <x:c r="F1292" s="134" t="n">
        <x:v>2947</x:v>
      </x:c>
      <x:c r="G1292" s="134" t="n">
        <x:v>0</x:v>
      </x:c>
      <x:c r="H1292" s="134" t="n">
        <x:v>1926</x:v>
      </x:c>
      <x:c r="I1292" s="134" t="n">
        <x:v>1438</x:v>
      </x:c>
      <x:c r="J1292" s="133" t="n">
        <x:v>48.78419452887538</x:v>
      </x:c>
      <x:c r="K1292" s="133" t="n">
        <x:v>48.79538513742789</x:v>
      </x:c>
      <x:c r="L1292" s="133" t="n">
        <x:v>48.742138364779876</x:v>
      </x:c>
      <x:c r="M1292" s="133" t="n">
        <x:v>48.84318766066838</x:v>
      </x:c>
      <x:c r="N1292" s="133" t="n">
        <x:v>48.275862068965516</x:v>
      </x:c>
      <x:c r="O1292" s="133" t="n">
        <x:v>49.107142857142854</x:v>
      </x:c>
      <x:c r="P1292" s="132"/>
    </x:row>
    <x:row r="1293">
      <x:c r="A1293" s="136" t="str">
        <x:v>01073012001</x:v>
      </x:c>
      <x:c r="B1293" s="132" t="str">
        <x:v>Jefferson County</x:v>
      </x:c>
      <x:c r="C1293" s="132" t="n">
        <x:v>1</x:v>
      </x:c>
      <x:c r="D1293" s="134" t="n">
        <x:v>4249</x:v>
      </x:c>
      <x:c r="E1293" s="133" t="n">
        <x:v>14.5</x:v>
      </x:c>
      <x:c r="F1293" s="134" t="n">
        <x:v>2569</x:v>
      </x:c>
      <x:c r="G1293" s="134" t="n">
        <x:v>0</x:v>
      </x:c>
      <x:c r="H1293" s="134" t="n">
        <x:v>2383</x:v>
      </x:c>
      <x:c r="I1293" s="134" t="n">
        <x:v>1441</x:v>
      </x:c>
      <x:c r="J1293" s="133" t="n">
        <x:v>56.0837844198635</x:v>
      </x:c>
      <x:c r="K1293" s="133" t="n">
        <x:v>56.09186453873102</x:v>
      </x:c>
      <x:c r="L1293" s="133" t="n">
        <x:v>56.13577023498694</x:v>
      </x:c>
      <x:c r="M1293" s="133" t="n">
        <x:v>56.10526315789474</x:v>
      </x:c>
      <x:c r="N1293" s="133" t="n">
        <x:v>55.913978494623656</x:v>
      </x:c>
      <x:c r="O1293" s="133" t="n">
        <x:v>56.08974358974359</x:v>
      </x:c>
      <x:c r="P1293" s="132"/>
    </x:row>
    <x:row r="1294">
      <x:c r="A1294" s="136" t="str">
        <x:v>01073010802</x:v>
      </x:c>
      <x:c r="B1294" s="132" t="str">
        <x:v>Jefferson County</x:v>
      </x:c>
      <x:c r="C1294" s="132" t="n">
        <x:v>1</x:v>
      </x:c>
      <x:c r="D1294" s="134" t="n">
        <x:v>3633</x:v>
      </x:c>
      <x:c r="E1294" s="133" t="n">
        <x:v>8.7</x:v>
      </x:c>
      <x:c r="F1294" s="134" t="n">
        <x:v>3793</x:v>
      </x:c>
      <x:c r="G1294" s="134" t="n">
        <x:v>0</x:v>
      </x:c>
      <x:c r="H1294" s="134" t="n">
        <x:v>1382</x:v>
      </x:c>
      <x:c r="I1294" s="134" t="n">
        <x:v>1442</x:v>
      </x:c>
      <x:c r="J1294" s="133" t="n">
        <x:v>38.04018717313515</x:v>
      </x:c>
      <x:c r="K1294" s="133" t="n">
        <x:v>38.0174004745584</x:v>
      </x:c>
      <x:c r="L1294" s="133" t="n">
        <x:v>38.017324350336864</x:v>
      </x:c>
      <x:c r="M1294" s="133" t="n">
        <x:v>38.03680981595092</x:v>
      </x:c>
      <x:c r="N1294" s="133" t="n">
        <x:v>40</x:v>
      </x:c>
      <x:c r="O1294" s="133"/>
      <x:c r="P1294" s="132"/>
    </x:row>
    <x:row r="1295">
      <x:c r="A1295" s="136" t="str">
        <x:v>01103005105</x:v>
      </x:c>
      <x:c r="B1295" s="132" t="str">
        <x:v>Morgan County</x:v>
      </x:c>
      <x:c r="C1295" s="132" t="n">
        <x:v>1</x:v>
      </x:c>
      <x:c r="D1295" s="134" t="n">
        <x:v>2195</x:v>
      </x:c>
      <x:c r="E1295" s="133" t="n">
        <x:v>3.8</x:v>
      </x:c>
      <x:c r="F1295" s="134" t="n">
        <x:v>2049</x:v>
      </x:c>
      <x:c r="G1295" s="134" t="n">
        <x:v>0</x:v>
      </x:c>
      <x:c r="H1295" s="134" t="n">
        <x:v>1554</x:v>
      </x:c>
      <x:c r="I1295" s="134" t="n">
        <x:v>1451</x:v>
      </x:c>
      <x:c r="J1295" s="133" t="n">
        <x:v>70.79726651480638</x:v>
      </x:c>
      <x:c r="K1295" s="133" t="n">
        <x:v>70.8150317227916</x:v>
      </x:c>
      <x:c r="L1295" s="133" t="n">
        <x:v>70.7182320441989</x:v>
      </x:c>
      <x:c r="M1295" s="133" t="n">
        <x:v>70.82066869300913</x:v>
      </x:c>
      <x:c r="N1295" s="133" t="n">
        <x:v>72.72727272727273</x:v>
      </x:c>
      <x:c r="O1295" s="133" t="n">
        <x:v>72</x:v>
      </x:c>
      <x:c r="P1295" s="132"/>
    </x:row>
    <x:row r="1296">
      <x:c r="A1296" s="136" t="str">
        <x:v>01089010628</x:v>
      </x:c>
      <x:c r="B1296" s="132" t="str">
        <x:v>Madison County</x:v>
      </x:c>
      <x:c r="C1296" s="132" t="n">
        <x:v>1</x:v>
      </x:c>
      <x:c r="D1296" s="134" t="n">
        <x:v>3341</x:v>
      </x:c>
      <x:c r="E1296" s="133" t="n">
        <x:v>4.7</x:v>
      </x:c>
      <x:c r="F1296" s="134" t="n">
        <x:v>3474</x:v>
      </x:c>
      <x:c r="G1296" s="134" t="n">
        <x:v>0</x:v>
      </x:c>
      <x:c r="H1296" s="134" t="n">
        <x:v>1404</x:v>
      </x:c>
      <x:c r="I1296" s="134" t="n">
        <x:v>1460</x:v>
      </x:c>
      <x:c r="J1296" s="133" t="n">
        <x:v>42.023346303501945</x:v>
      </x:c>
      <x:c r="K1296" s="133" t="n">
        <x:v>42.026482440990215</x:v>
      </x:c>
      <x:c r="L1296" s="133" t="n">
        <x:v>42.0253164556962</x:v>
      </x:c>
      <x:c r="M1296" s="133" t="n">
        <x:v>42</x:v>
      </x:c>
      <x:c r="N1296" s="133" t="n">
        <x:v>42.30769230769231</x:v>
      </x:c>
      <x:c r="O1296" s="133" t="n">
        <x:v>41.30434782608695</x:v>
      </x:c>
      <x:c r="P1296" s="132"/>
    </x:row>
    <x:row r="1297">
      <x:c r="A1297" s="136" t="str">
        <x:v>01089002721</x:v>
      </x:c>
      <x:c r="B1297" s="132" t="str">
        <x:v>Madison County</x:v>
      </x:c>
      <x:c r="C1297" s="132" t="n">
        <x:v>1</x:v>
      </x:c>
      <x:c r="D1297" s="134" t="n">
        <x:v>4042</x:v>
      </x:c>
      <x:c r="E1297" s="133" t="n">
        <x:v>7</x:v>
      </x:c>
      <x:c r="F1297" s="134" t="n">
        <x:v>4074</x:v>
      </x:c>
      <x:c r="G1297" s="134" t="n">
        <x:v>0</x:v>
      </x:c>
      <x:c r="H1297" s="134" t="n">
        <x:v>1456</x:v>
      </x:c>
      <x:c r="I1297" s="134" t="n">
        <x:v>1467</x:v>
      </x:c>
      <x:c r="J1297" s="133" t="n">
        <x:v>36.021771400296885</x:v>
      </x:c>
      <x:c r="K1297" s="133" t="n">
        <x:v>36.00883652430044</x:v>
      </x:c>
      <x:c r="L1297" s="133" t="n">
        <x:v>35.95988538681949</x:v>
      </x:c>
      <x:c r="M1297" s="133" t="n">
        <x:v>36.0313315926893</x:v>
      </x:c>
      <x:c r="N1297" s="133" t="n">
        <x:v>34.78260869565217</x:v>
      </x:c>
      <x:c r="O1297" s="133" t="n">
        <x:v>36.206896551724135</x:v>
      </x:c>
      <x:c r="P1297" s="132"/>
    </x:row>
    <x:row r="1298">
      <x:c r="A1298" s="136" t="str">
        <x:v>01117030340</x:v>
      </x:c>
      <x:c r="B1298" s="132" t="str">
        <x:v>Shelby County</x:v>
      </x:c>
      <x:c r="C1298" s="132" t="n">
        <x:v>1</x:v>
      </x:c>
      <x:c r="D1298" s="134" t="n">
        <x:v>5681</x:v>
      </x:c>
      <x:c r="E1298" s="133" t="n">
        <x:v>10.1</x:v>
      </x:c>
      <x:c r="F1298" s="134" t="n">
        <x:v>4135</x:v>
      </x:c>
      <x:c r="G1298" s="134" t="n">
        <x:v>0</x:v>
      </x:c>
      <x:c r="H1298" s="134" t="n">
        <x:v>2028</x:v>
      </x:c>
      <x:c r="I1298" s="134" t="n">
        <x:v>1476</x:v>
      </x:c>
      <x:c r="J1298" s="133" t="n">
        <x:v>35.69794050343249</x:v>
      </x:c>
      <x:c r="K1298" s="133" t="n">
        <x:v>35.69528415961306</x:v>
      </x:c>
      <x:c r="L1298" s="133" t="n">
        <x:v>35.714285714285715</x:v>
      </x:c>
      <x:c r="M1298" s="133" t="n">
        <x:v>35.66775244299674</x:v>
      </x:c>
      <x:c r="N1298" s="133"/>
      <x:c r="O1298" s="133" t="n">
        <x:v>35.416666666666664</x:v>
      </x:c>
      <x:c r="P1298" s="132"/>
    </x:row>
    <x:row r="1299">
      <x:c r="A1299" s="136" t="str">
        <x:v>01089002924</x:v>
      </x:c>
      <x:c r="B1299" s="132" t="str">
        <x:v>Madison County</x:v>
      </x:c>
      <x:c r="C1299" s="132" t="n">
        <x:v>1</x:v>
      </x:c>
      <x:c r="D1299" s="134" t="n">
        <x:v>3075</x:v>
      </x:c>
      <x:c r="E1299" s="133" t="n">
        <x:v>13.9</x:v>
      </x:c>
      <x:c r="F1299" s="134" t="n">
        <x:v>2612</x:v>
      </x:c>
      <x:c r="G1299" s="134" t="n">
        <x:v>0</x:v>
      </x:c>
      <x:c r="H1299" s="134" t="n">
        <x:v>1740</x:v>
      </x:c>
      <x:c r="I1299" s="134" t="n">
        <x:v>1478</x:v>
      </x:c>
      <x:c r="J1299" s="133" t="n">
        <x:v>56.58536585365854</x:v>
      </x:c>
      <x:c r="K1299" s="133" t="n">
        <x:v>56.58499234303216</x:v>
      </x:c>
      <x:c r="L1299" s="133" t="n">
        <x:v>56.610169491525426</x:v>
      </x:c>
      <x:c r="M1299" s="133" t="n">
        <x:v>56.64739884393064</x:v>
      </x:c>
      <x:c r="N1299" s="133" t="n">
        <x:v>56.41025641025641</x:v>
      </x:c>
      <x:c r="O1299" s="133" t="n">
        <x:v>55.55555555555556</x:v>
      </x:c>
      <x:c r="P1299" s="132"/>
    </x:row>
    <x:row r="1300">
      <x:c r="A1300" s="136" t="str">
        <x:v>01095030401</x:v>
      </x:c>
      <x:c r="B1300" s="132" t="str">
        <x:v>Marshall County</x:v>
      </x:c>
      <x:c r="C1300" s="132" t="n">
        <x:v>1</x:v>
      </x:c>
      <x:c r="D1300" s="134" t="n">
        <x:v>4817</x:v>
      </x:c>
      <x:c r="E1300" s="133" t="n">
        <x:v>18.5</x:v>
      </x:c>
      <x:c r="F1300" s="134" t="n">
        <x:v>3277</x:v>
      </x:c>
      <x:c r="G1300" s="134" t="n">
        <x:v>0</x:v>
      </x:c>
      <x:c r="H1300" s="134" t="n">
        <x:v>2179</x:v>
      </x:c>
      <x:c r="I1300" s="134" t="n">
        <x:v>1482</x:v>
      </x:c>
      <x:c r="J1300" s="133" t="n">
        <x:v>45.23562383226074</x:v>
      </x:c>
      <x:c r="K1300" s="133" t="n">
        <x:v>45.22429050961245</x:v>
      </x:c>
      <x:c r="L1300" s="133" t="n">
        <x:v>45.2017937219731</x:v>
      </x:c>
      <x:c r="M1300" s="133" t="n">
        <x:v>45.23809523809524</x:v>
      </x:c>
      <x:c r="N1300" s="133" t="n">
        <x:v>45.23809523809524</x:v>
      </x:c>
      <x:c r="O1300" s="133" t="n">
        <x:v>45.038167938931295</x:v>
      </x:c>
      <x:c r="P1300" s="132"/>
    </x:row>
    <x:row r="1301">
      <x:c r="A1301" s="136" t="str">
        <x:v>01069040206</x:v>
      </x:c>
      <x:c r="B1301" s="132" t="str">
        <x:v>Houston County</x:v>
      </x:c>
      <x:c r="C1301" s="132" t="n">
        <x:v>1</x:v>
      </x:c>
      <x:c r="D1301" s="134" t="n">
        <x:v>4597</x:v>
      </x:c>
      <x:c r="E1301" s="133" t="n">
        <x:v>7.3</x:v>
      </x:c>
      <x:c r="F1301" s="134" t="n">
        <x:v>3068</x:v>
      </x:c>
      <x:c r="G1301" s="134" t="n">
        <x:v>0</x:v>
      </x:c>
      <x:c r="H1301" s="134" t="n">
        <x:v>2230</x:v>
      </x:c>
      <x:c r="I1301" s="134" t="n">
        <x:v>1488</x:v>
      </x:c>
      <x:c r="J1301" s="133" t="n">
        <x:v>48.50989775940831</x:v>
      </x:c>
      <x:c r="K1301" s="133" t="n">
        <x:v>48.5006518904824</x:v>
      </x:c>
      <x:c r="L1301" s="133" t="n">
        <x:v>48.54368932038835</x:v>
      </x:c>
      <x:c r="M1301" s="133" t="n">
        <x:v>48.49115504682622</x:v>
      </x:c>
      <x:c r="N1301" s="133" t="n">
        <x:v>49.01960784313726</x:v>
      </x:c>
      <x:c r="O1301" s="133" t="n">
        <x:v>48.67256637168141</x:v>
      </x:c>
      <x:c r="P1301" s="132"/>
    </x:row>
    <x:row r="1302">
      <x:c r="A1302" s="136" t="str">
        <x:v>01073012917</x:v>
      </x:c>
      <x:c r="B1302" s="132" t="str">
        <x:v>Jefferson County</x:v>
      </x:c>
      <x:c r="C1302" s="132" t="n">
        <x:v>1</x:v>
      </x:c>
      <x:c r="D1302" s="134" t="n">
        <x:v>3066</x:v>
      </x:c>
      <x:c r="E1302" s="133" t="n">
        <x:v>1.8</x:v>
      </x:c>
      <x:c r="F1302" s="134" t="n">
        <x:v>2247</x:v>
      </x:c>
      <x:c r="G1302" s="134" t="n">
        <x:v>0</x:v>
      </x:c>
      <x:c r="H1302" s="134" t="n">
        <x:v>2050</x:v>
      </x:c>
      <x:c r="I1302" s="134" t="n">
        <x:v>1502</x:v>
      </x:c>
      <x:c r="J1302" s="133" t="n">
        <x:v>66.86236138290933</x:v>
      </x:c>
      <x:c r="K1302" s="133" t="n">
        <x:v>66.84468179795283</x:v>
      </x:c>
      <x:c r="L1302" s="133" t="n">
        <x:v>66.92913385826772</x:v>
      </x:c>
      <x:c r="M1302" s="133" t="n">
        <x:v>66.81481481481481</x:v>
      </x:c>
      <x:c r="N1302" s="133" t="n">
        <x:v>66.66666666666667</x:v>
      </x:c>
      <x:c r="O1302" s="133" t="n">
        <x:v>66.23376623376623</x:v>
      </x:c>
      <x:c r="P1302" s="132"/>
    </x:row>
    <x:row r="1303">
      <x:c r="A1303" s="136" t="str">
        <x:v>01095030702</x:v>
      </x:c>
      <x:c r="B1303" s="132" t="str">
        <x:v>Marshall County</x:v>
      </x:c>
      <x:c r="C1303" s="132" t="n">
        <x:v>1</x:v>
      </x:c>
      <x:c r="D1303" s="134" t="n">
        <x:v>3993</x:v>
      </x:c>
      <x:c r="E1303" s="133" t="n">
        <x:v>18</x:v>
      </x:c>
      <x:c r="F1303" s="134" t="n">
        <x:v>2105</x:v>
      </x:c>
      <x:c r="G1303" s="134" t="n">
        <x:v>0</x:v>
      </x:c>
      <x:c r="H1303" s="134" t="n">
        <x:v>2868</x:v>
      </x:c>
      <x:c r="I1303" s="134" t="n">
        <x:v>1512</x:v>
      </x:c>
      <x:c r="J1303" s="133" t="n">
        <x:v>71.82569496619084</x:v>
      </x:c>
      <x:c r="K1303" s="133" t="n">
        <x:v>71.8289786223278</x:v>
      </x:c>
      <x:c r="L1303" s="133" t="n">
        <x:v>71.87894073139975</x:v>
      </x:c>
      <x:c r="M1303" s="133" t="n">
        <x:v>71.875</x:v>
      </x:c>
      <x:c r="N1303" s="133" t="n">
        <x:v>71.25</x:v>
      </x:c>
      <x:c r="O1303" s="133" t="n">
        <x:v>71.80616740088105</x:v>
      </x:c>
      <x:c r="P1303" s="132"/>
    </x:row>
    <x:row r="1304">
      <x:c r="A1304" s="136" t="str">
        <x:v>01125012503</x:v>
      </x:c>
      <x:c r="B1304" s="132" t="str">
        <x:v>Tuscaloosa County</x:v>
      </x:c>
      <x:c r="C1304" s="132" t="n">
        <x:v>1</x:v>
      </x:c>
      <x:c r="D1304" s="134" t="n">
        <x:v>4719</x:v>
      </x:c>
      <x:c r="E1304" s="133" t="n">
        <x:v>9.5</x:v>
      </x:c>
      <x:c r="F1304" s="134" t="n">
        <x:v>4480</x:v>
      </x:c>
      <x:c r="G1304" s="134" t="n">
        <x:v>0</x:v>
      </x:c>
      <x:c r="H1304" s="134" t="n">
        <x:v>1609</x:v>
      </x:c>
      <x:c r="I1304" s="134" t="n">
        <x:v>1528</x:v>
      </x:c>
      <x:c r="J1304" s="133" t="n">
        <x:v>34.09620682347955</x:v>
      </x:c>
      <x:c r="K1304" s="133" t="n">
        <x:v>34.107142857142854</x:v>
      </x:c>
      <x:c r="L1304" s="133" t="n">
        <x:v>34.09893992932862</x:v>
      </x:c>
      <x:c r="M1304" s="133" t="n">
        <x:v>34.166666666666664</x:v>
      </x:c>
      <x:c r="N1304" s="133"/>
      <x:c r="O1304" s="133" t="n">
        <x:v>34.09090909090909</x:v>
      </x:c>
      <x:c r="P1304" s="132"/>
    </x:row>
    <x:row r="1305">
      <x:c r="A1305" s="136" t="str">
        <x:v>01097003409</x:v>
      </x:c>
      <x:c r="B1305" s="132" t="str">
        <x:v>Mobile County</x:v>
      </x:c>
      <x:c r="C1305" s="132" t="n">
        <x:v>1</x:v>
      </x:c>
      <x:c r="D1305" s="134" t="n">
        <x:v>3016</x:v>
      </x:c>
      <x:c r="E1305" s="133" t="n">
        <x:v>9.9</x:v>
      </x:c>
      <x:c r="F1305" s="134" t="n">
        <x:v>2116</x:v>
      </x:c>
      <x:c r="G1305" s="134" t="n">
        <x:v>0</x:v>
      </x:c>
      <x:c r="H1305" s="134" t="n">
        <x:v>2212</x:v>
      </x:c>
      <x:c r="I1305" s="134" t="n">
        <x:v>1552</x:v>
      </x:c>
      <x:c r="J1305" s="133" t="n">
        <x:v>73.342175066313</x:v>
      </x:c>
      <x:c r="K1305" s="133" t="n">
        <x:v>73.34593572778827</x:v>
      </x:c>
      <x:c r="L1305" s="133" t="n">
        <x:v>73.39181286549707</x:v>
      </x:c>
      <x:c r="M1305" s="133" t="n">
        <x:v>73.25800376647834</x:v>
      </x:c>
      <x:c r="N1305" s="133"/>
      <x:c r="O1305" s="133" t="n">
        <x:v>73.20261437908496</x:v>
      </x:c>
      <x:c r="P1305" s="132"/>
    </x:row>
    <x:row r="1306">
      <x:c r="A1306" s="136" t="str">
        <x:v>01003011415</x:v>
      </x:c>
      <x:c r="B1306" s="132" t="str">
        <x:v>Baldwin County</x:v>
      </x:c>
      <x:c r="C1306" s="132" t="n">
        <x:v>1</x:v>
      </x:c>
      <x:c r="D1306" s="134" t="n">
        <x:v>2019</x:v>
      </x:c>
      <x:c r="E1306" s="133" t="n">
        <x:v>2</x:v>
      </x:c>
      <x:c r="F1306" s="134" t="n">
        <x:v>1712</x:v>
      </x:c>
      <x:c r="G1306" s="134" t="n">
        <x:v>0</x:v>
      </x:c>
      <x:c r="H1306" s="134" t="n">
        <x:v>1844</x:v>
      </x:c>
      <x:c r="I1306" s="134" t="n">
        <x:v>1564</x:v>
      </x:c>
      <x:c r="J1306" s="133" t="n">
        <x:v>91.33234274393264</x:v>
      </x:c>
      <x:c r="K1306" s="133" t="n">
        <x:v>91.35514018691589</x:v>
      </x:c>
      <x:c r="L1306" s="133" t="n">
        <x:v>91.17647058823529</x:v>
      </x:c>
      <x:c r="M1306" s="133" t="n">
        <x:v>91.29353233830845</x:v>
      </x:c>
      <x:c r="N1306" s="133"/>
      <x:c r="O1306" s="133" t="n">
        <x:v>91.66666666666667</x:v>
      </x:c>
      <x:c r="P1306" s="132"/>
    </x:row>
    <x:row r="1307">
      <x:c r="A1307" s="136" t="str">
        <x:v>01003011103</x:v>
      </x:c>
      <x:c r="B1307" s="132" t="str">
        <x:v>Baldwin County</x:v>
      </x:c>
      <x:c r="C1307" s="132" t="n">
        <x:v>1</x:v>
      </x:c>
      <x:c r="D1307" s="134" t="n">
        <x:v>3523</x:v>
      </x:c>
      <x:c r="E1307" s="133" t="n">
        <x:v>8.6</x:v>
      </x:c>
      <x:c r="F1307" s="134" t="n">
        <x:v>2883</x:v>
      </x:c>
      <x:c r="G1307" s="134" t="n">
        <x:v>0</x:v>
      </x:c>
      <x:c r="H1307" s="134" t="n">
        <x:v>1929</x:v>
      </x:c>
      <x:c r="I1307" s="134" t="n">
        <x:v>1578</x:v>
      </x:c>
      <x:c r="J1307" s="133" t="n">
        <x:v>54.754470621629295</x:v>
      </x:c>
      <x:c r="K1307" s="133" t="n">
        <x:v>54.73465140478668</x:v>
      </x:c>
      <x:c r="L1307" s="133" t="n">
        <x:v>54.710144927536234</x:v>
      </x:c>
      <x:c r="M1307" s="133" t="n">
        <x:v>54.7887323943662</x:v>
      </x:c>
      <x:c r="N1307" s="133" t="n">
        <x:v>54.166666666666664</x:v>
      </x:c>
      <x:c r="O1307" s="133" t="n">
        <x:v>54.83870967741935</x:v>
      </x:c>
      <x:c r="P1307" s="132"/>
    </x:row>
    <x:row r="1308">
      <x:c r="A1308" s="136" t="str">
        <x:v>01117030610</x:v>
      </x:c>
      <x:c r="B1308" s="132" t="str">
        <x:v>Shelby County</x:v>
      </x:c>
      <x:c r="C1308" s="132" t="n">
        <x:v>1</x:v>
      </x:c>
      <x:c r="D1308" s="134" t="n">
        <x:v>4143</x:v>
      </x:c>
      <x:c r="E1308" s="133" t="n">
        <x:v>12.2</x:v>
      </x:c>
      <x:c r="F1308" s="134" t="n">
        <x:v>2545</x:v>
      </x:c>
      <x:c r="G1308" s="134" t="n">
        <x:v>0</x:v>
      </x:c>
      <x:c r="H1308" s="134" t="n">
        <x:v>2601</x:v>
      </x:c>
      <x:c r="I1308" s="134" t="n">
        <x:v>1598</x:v>
      </x:c>
      <x:c r="J1308" s="133" t="n">
        <x:v>62.78059377262853</x:v>
      </x:c>
      <x:c r="K1308" s="133" t="n">
        <x:v>62.789783889980356</x:v>
      </x:c>
      <x:c r="L1308" s="133" t="n">
        <x:v>62.81062553556127</x:v>
      </x:c>
      <x:c r="M1308" s="133" t="n">
        <x:v>62.83367556468173</x:v>
      </x:c>
      <x:c r="N1308" s="133" t="n">
        <x:v>63.63636363636363</x:v>
      </x:c>
      <x:c r="O1308" s="133" t="n">
        <x:v>62.65060240963855</x:v>
      </x:c>
      <x:c r="P1308" s="132"/>
    </x:row>
    <x:row r="1309">
      <x:c r="A1309" s="136" t="str">
        <x:v>01033020400</x:v>
      </x:c>
      <x:c r="B1309" s="132" t="str">
        <x:v>Colbert County</x:v>
      </x:c>
      <x:c r="C1309" s="132" t="n">
        <x:v>1</x:v>
      </x:c>
      <x:c r="D1309" s="134" t="n">
        <x:v>1504</x:v>
      </x:c>
      <x:c r="E1309" s="133" t="n">
        <x:v>2.6</x:v>
      </x:c>
      <x:c r="F1309" s="134" t="n">
        <x:v>1613</x:v>
      </x:c>
      <x:c r="G1309" s="134" t="n">
        <x:v>0</x:v>
      </x:c>
      <x:c r="H1309" s="134" t="n">
        <x:v>1504</x:v>
      </x:c>
      <x:c r="I1309" s="134" t="n">
        <x:v>1613</x:v>
      </x:c>
      <x:c r="J1309" s="133" t="n">
        <x:v>100</x:v>
      </x:c>
      <x:c r="K1309" s="133" t="n">
        <x:v>100</x:v>
      </x:c>
      <x:c r="L1309" s="133" t="n">
        <x:v>100</x:v>
      </x:c>
      <x:c r="M1309" s="133" t="n">
        <x:v>100</x:v>
      </x:c>
      <x:c r="N1309" s="133" t="n">
        <x:v>100</x:v>
      </x:c>
      <x:c r="O1309" s="133" t="n">
        <x:v>100</x:v>
      </x:c>
      <x:c r="P1309" s="132"/>
    </x:row>
    <x:row r="1310">
      <x:c r="A1310" s="136" t="str">
        <x:v>01073011113</x:v>
      </x:c>
      <x:c r="B1310" s="132" t="str">
        <x:v>Jefferson County</x:v>
      </x:c>
      <x:c r="C1310" s="132" t="n">
        <x:v>1</x:v>
      </x:c>
      <x:c r="D1310" s="134" t="n">
        <x:v>4006</x:v>
      </x:c>
      <x:c r="E1310" s="133" t="n">
        <x:v>14.2</x:v>
      </x:c>
      <x:c r="F1310" s="134" t="n">
        <x:v>2300</x:v>
      </x:c>
      <x:c r="G1310" s="134" t="n">
        <x:v>0</x:v>
      </x:c>
      <x:c r="H1310" s="134" t="n">
        <x:v>2809</x:v>
      </x:c>
      <x:c r="I1310" s="134" t="n">
        <x:v>1613</x:v>
      </x:c>
      <x:c r="J1310" s="133" t="n">
        <x:v>70.1198202695956</x:v>
      </x:c>
      <x:c r="K1310" s="133" t="n">
        <x:v>70.1304347826087</x:v>
      </x:c>
      <x:c r="L1310" s="133" t="n">
        <x:v>70.1639344262295</x:v>
      </x:c>
      <x:c r="M1310" s="133" t="n">
        <x:v>70.14134275618375</x:v>
      </x:c>
      <x:c r="N1310" s="133" t="n">
        <x:v>70</x:v>
      </x:c>
      <x:c r="O1310" s="133" t="n">
        <x:v>70.04048582995951</x:v>
      </x:c>
      <x:c r="P1310" s="132"/>
    </x:row>
    <x:row r="1311">
      <x:c r="A1311" s="136" t="str">
        <x:v>01097007101</x:v>
      </x:c>
      <x:c r="B1311" s="132" t="str">
        <x:v>Mobile County</x:v>
      </x:c>
      <x:c r="C1311" s="132" t="n">
        <x:v>1</x:v>
      </x:c>
      <x:c r="D1311" s="134" t="n">
        <x:v>4575</x:v>
      </x:c>
      <x:c r="E1311" s="133" t="n">
        <x:v>19.3</x:v>
      </x:c>
      <x:c r="F1311" s="134" t="n">
        <x:v>2536</x:v>
      </x:c>
      <x:c r="G1311" s="134" t="n">
        <x:v>0</x:v>
      </x:c>
      <x:c r="H1311" s="134" t="n">
        <x:v>2982</x:v>
      </x:c>
      <x:c r="I1311" s="134" t="n">
        <x:v>1653</x:v>
      </x:c>
      <x:c r="J1311" s="133" t="n">
        <x:v>65.18032786885246</x:v>
      </x:c>
      <x:c r="K1311" s="133" t="n">
        <x:v>65.1813880126183</x:v>
      </x:c>
      <x:c r="L1311" s="133" t="n">
        <x:v>65.20963425512934</x:v>
      </x:c>
      <x:c r="M1311" s="133" t="n">
        <x:v>65.23489932885906</x:v>
      </x:c>
      <x:c r="N1311" s="133" t="n">
        <x:v>64.70588235294117</x:v>
      </x:c>
      <x:c r="O1311" s="133" t="n">
        <x:v>65.10791366906474</x:v>
      </x:c>
      <x:c r="P1311" s="132"/>
    </x:row>
    <x:row r="1312">
      <x:c r="A1312" s="136" t="str">
        <x:v>01117030347</x:v>
      </x:c>
      <x:c r="B1312" s="132" t="str">
        <x:v>Shelby County</x:v>
      </x:c>
      <x:c r="C1312" s="132" t="n">
        <x:v>1</x:v>
      </x:c>
      <x:c r="D1312" s="134" t="n">
        <x:v>4736</x:v>
      </x:c>
      <x:c r="E1312" s="133" t="n">
        <x:v>13.6</x:v>
      </x:c>
      <x:c r="F1312" s="134" t="n">
        <x:v>3635</x:v>
      </x:c>
      <x:c r="G1312" s="134" t="n">
        <x:v>0</x:v>
      </x:c>
      <x:c r="H1312" s="134" t="n">
        <x:v>2159</x:v>
      </x:c>
      <x:c r="I1312" s="134" t="n">
        <x:v>1657</x:v>
      </x:c>
      <x:c r="J1312" s="133" t="n">
        <x:v>45.58699324324324</x:v>
      </x:c>
      <x:c r="K1312" s="133" t="n">
        <x:v>45.584594222833566</x:v>
      </x:c>
      <x:c r="L1312" s="133" t="n">
        <x:v>45.56962025316456</x:v>
      </x:c>
      <x:c r="M1312" s="133" t="n">
        <x:v>45.536723163841806</x:v>
      </x:c>
      <x:c r="N1312" s="133" t="n">
        <x:v>45.39007092198582</x:v>
      </x:c>
      <x:c r="O1312" s="133" t="n">
        <x:v>42.857142857142854</x:v>
      </x:c>
      <x:c r="P1312" s="132"/>
    </x:row>
    <x:row r="1313">
      <x:c r="A1313" s="136" t="str">
        <x:v>01069040900</x:v>
      </x:c>
      <x:c r="B1313" s="132" t="str">
        <x:v>Houston County</x:v>
      </x:c>
      <x:c r="C1313" s="132" t="n">
        <x:v>1</x:v>
      </x:c>
      <x:c r="D1313" s="134" t="n">
        <x:v>5532</x:v>
      </x:c>
      <x:c r="E1313" s="133" t="n">
        <x:v>11.4</x:v>
      </x:c>
      <x:c r="F1313" s="134" t="n">
        <x:v>3968</x:v>
      </x:c>
      <x:c r="G1313" s="134" t="n">
        <x:v>0</x:v>
      </x:c>
      <x:c r="H1313" s="134" t="n">
        <x:v>2313</x:v>
      </x:c>
      <x:c r="I1313" s="134" t="n">
        <x:v>1659</x:v>
      </x:c>
      <x:c r="J1313" s="133" t="n">
        <x:v>41.81127982646421</x:v>
      </x:c>
      <x:c r="K1313" s="133" t="n">
        <x:v>41.809475806451616</x:v>
      </x:c>
      <x:c r="L1313" s="133" t="n">
        <x:v>41.830065359477125</x:v>
      </x:c>
      <x:c r="M1313" s="133" t="n">
        <x:v>41.76954732510288</x:v>
      </x:c>
      <x:c r="N1313" s="133" t="n">
        <x:v>41.666666666666664</x:v>
      </x:c>
      <x:c r="O1313" s="133" t="n">
        <x:v>41.796875</x:v>
      </x:c>
      <x:c r="P1313" s="132"/>
    </x:row>
    <x:row r="1314">
      <x:c r="A1314" s="136" t="str">
        <x:v>01115040212</x:v>
      </x:c>
      <x:c r="B1314" s="132" t="str">
        <x:v>St. Clair County</x:v>
      </x:c>
      <x:c r="C1314" s="132" t="n">
        <x:v>1</x:v>
      </x:c>
      <x:c r="D1314" s="134" t="n">
        <x:v>2529</x:v>
      </x:c>
      <x:c r="E1314" s="133" t="n">
        <x:v>13.4</x:v>
      </x:c>
      <x:c r="F1314" s="134" t="n">
        <x:v>2011</x:v>
      </x:c>
      <x:c r="G1314" s="134" t="n">
        <x:v>0</x:v>
      </x:c>
      <x:c r="H1314" s="134" t="n">
        <x:v>2097</x:v>
      </x:c>
      <x:c r="I1314" s="134" t="n">
        <x:v>1667</x:v>
      </x:c>
      <x:c r="J1314" s="133" t="n">
        <x:v>82.91814946619218</x:v>
      </x:c>
      <x:c r="K1314" s="133" t="n">
        <x:v>82.89408254599702</x:v>
      </x:c>
      <x:c r="L1314" s="133" t="n">
        <x:v>82.9683698296837</x:v>
      </x:c>
      <x:c r="M1314" s="133" t="n">
        <x:v>82.87461773700306</x:v>
      </x:c>
      <x:c r="N1314" s="133"/>
      <x:c r="O1314" s="133" t="n">
        <x:v>83.16831683168317</x:v>
      </x:c>
      <x:c r="P1314" s="132"/>
    </x:row>
    <x:row r="1315">
      <x:c r="A1315" s="136" t="str">
        <x:v>01073005302</x:v>
      </x:c>
      <x:c r="B1315" s="132" t="str">
        <x:v>Jefferson County</x:v>
      </x:c>
      <x:c r="C1315" s="132" t="n">
        <x:v>1</x:v>
      </x:c>
      <x:c r="D1315" s="134" t="n">
        <x:v>3484</x:v>
      </x:c>
      <x:c r="E1315" s="133" t="n">
        <x:v>3.6</x:v>
      </x:c>
      <x:c r="F1315" s="134" t="n">
        <x:v>2701</x:v>
      </x:c>
      <x:c r="G1315" s="134" t="n">
        <x:v>0</x:v>
      </x:c>
      <x:c r="H1315" s="134" t="n">
        <x:v>2152</x:v>
      </x:c>
      <x:c r="I1315" s="134" t="n">
        <x:v>1668</x:v>
      </x:c>
      <x:c r="J1315" s="133" t="n">
        <x:v>61.76808266360505</x:v>
      </x:c>
      <x:c r="K1315" s="133" t="n">
        <x:v>61.75490559052203</x:v>
      </x:c>
      <x:c r="L1315" s="133" t="n">
        <x:v>61.69544740973313</x:v>
      </x:c>
      <x:c r="M1315" s="133" t="n">
        <x:v>61.840120663650076</x:v>
      </x:c>
      <x:c r="N1315" s="133" t="n">
        <x:v>62.96296296296296</x:v>
      </x:c>
      <x:c r="O1315" s="133" t="n">
        <x:v>61.904761904761905</x:v>
      </x:c>
      <x:c r="P1315" s="132"/>
    </x:row>
    <x:row r="1316">
      <x:c r="A1316" s="136" t="str">
        <x:v>01089002922</x:v>
      </x:c>
      <x:c r="B1316" s="132" t="str">
        <x:v>Madison County</x:v>
      </x:c>
      <x:c r="C1316" s="132" t="n">
        <x:v>1</x:v>
      </x:c>
      <x:c r="D1316" s="134" t="n">
        <x:v>4210</x:v>
      </x:c>
      <x:c r="E1316" s="133" t="n">
        <x:v>8.2</x:v>
      </x:c>
      <x:c r="F1316" s="134" t="n">
        <x:v>3508</x:v>
      </x:c>
      <x:c r="G1316" s="134" t="n">
        <x:v>0</x:v>
      </x:c>
      <x:c r="H1316" s="134" t="n">
        <x:v>2006</x:v>
      </x:c>
      <x:c r="I1316" s="134" t="n">
        <x:v>1671</x:v>
      </x:c>
      <x:c r="J1316" s="133" t="n">
        <x:v>47.648456057007124</x:v>
      </x:c>
      <x:c r="K1316" s="133" t="n">
        <x:v>47.63397947548461</x:v>
      </x:c>
      <x:c r="L1316" s="133" t="n">
        <x:v>47.635524798154556</x:v>
      </x:c>
      <x:c r="M1316" s="133" t="n">
        <x:v>47.68421052631579</x:v>
      </x:c>
      <x:c r="N1316" s="133" t="n">
        <x:v>50</x:v>
      </x:c>
      <x:c r="O1316" s="133" t="n">
        <x:v>45.45454545454545</x:v>
      </x:c>
      <x:c r="P1316" s="132"/>
    </x:row>
    <x:row r="1317">
      <x:c r="A1317" s="136" t="str">
        <x:v>01081040402</x:v>
      </x:c>
      <x:c r="B1317" s="132" t="str">
        <x:v>Lee County</x:v>
      </x:c>
      <x:c r="C1317" s="132" t="n">
        <x:v>1</x:v>
      </x:c>
      <x:c r="D1317" s="134" t="n">
        <x:v>2055</x:v>
      </x:c>
      <x:c r="E1317" s="133" t="n">
        <x:v>14</x:v>
      </x:c>
      <x:c r="F1317" s="134" t="n">
        <x:v>2175</x:v>
      </x:c>
      <x:c r="G1317" s="134" t="n">
        <x:v>0</x:v>
      </x:c>
      <x:c r="H1317" s="134" t="n">
        <x:v>1592</x:v>
      </x:c>
      <x:c r="I1317" s="134" t="n">
        <x:v>1685</x:v>
      </x:c>
      <x:c r="J1317" s="133" t="n">
        <x:v>77.46958637469587</x:v>
      </x:c>
      <x:c r="K1317" s="133" t="n">
        <x:v>77.47126436781609</x:v>
      </x:c>
      <x:c r="L1317" s="133" t="n">
        <x:v>77.58620689655173</x:v>
      </x:c>
      <x:c r="M1317" s="133" t="n">
        <x:v>77.50677506775068</x:v>
      </x:c>
      <x:c r="N1317" s="133"/>
      <x:c r="O1317" s="133" t="n">
        <x:v>75</x:v>
      </x:c>
      <x:c r="P1317" s="132"/>
    </x:row>
    <x:row r="1318">
      <x:c r="A1318" s="136" t="str">
        <x:v>01073012307</x:v>
      </x:c>
      <x:c r="B1318" s="132" t="str">
        <x:v>Jefferson County</x:v>
      </x:c>
      <x:c r="C1318" s="132" t="n">
        <x:v>1</x:v>
      </x:c>
      <x:c r="D1318" s="134" t="n">
        <x:v>3900</x:v>
      </x:c>
      <x:c r="E1318" s="133" t="n">
        <x:v>12.2</x:v>
      </x:c>
      <x:c r="F1318" s="134" t="n">
        <x:v>2850</x:v>
      </x:c>
      <x:c r="G1318" s="134" t="n">
        <x:v>0</x:v>
      </x:c>
      <x:c r="H1318" s="134" t="n">
        <x:v>2308</x:v>
      </x:c>
      <x:c r="I1318" s="134" t="n">
        <x:v>1687</x:v>
      </x:c>
      <x:c r="J1318" s="133" t="n">
        <x:v>59.17948717948718</x:v>
      </x:c>
      <x:c r="K1318" s="133" t="n">
        <x:v>59.19298245614035</x:v>
      </x:c>
      <x:c r="L1318" s="133" t="n">
        <x:v>59.137343927355275</x:v>
      </x:c>
      <x:c r="M1318" s="133" t="n">
        <x:v>59.21052631578947</x:v>
      </x:c>
      <x:c r="N1318" s="133" t="n">
        <x:v>58.333333333333336</x:v>
      </x:c>
      <x:c r="O1318" s="133" t="n">
        <x:v>59.31372549019608</x:v>
      </x:c>
      <x:c r="P1318" s="132"/>
    </x:row>
    <x:row r="1319">
      <x:c r="A1319" s="136" t="str">
        <x:v>01003011413</x:v>
      </x:c>
      <x:c r="B1319" s="132" t="str">
        <x:v>Baldwin County</x:v>
      </x:c>
      <x:c r="C1319" s="132" t="n">
        <x:v>1</x:v>
      </x:c>
      <x:c r="D1319" s="134" t="n">
        <x:v>3982</x:v>
      </x:c>
      <x:c r="E1319" s="133" t="n">
        <x:v>3.4</x:v>
      </x:c>
      <x:c r="F1319" s="134" t="n">
        <x:v>3590</x:v>
      </x:c>
      <x:c r="G1319" s="134" t="n">
        <x:v>0</x:v>
      </x:c>
      <x:c r="H1319" s="134" t="n">
        <x:v>1946</x:v>
      </x:c>
      <x:c r="I1319" s="134" t="n">
        <x:v>1754</x:v>
      </x:c>
      <x:c r="J1319" s="133" t="n">
        <x:v>48.869914615770966</x:v>
      </x:c>
      <x:c r="K1319" s="133" t="n">
        <x:v>48.85793871866295</x:v>
      </x:c>
      <x:c r="L1319" s="133" t="n">
        <x:v>48.857142857142854</x:v>
      </x:c>
      <x:c r="M1319" s="133" t="n">
        <x:v>48.828828828828826</x:v>
      </x:c>
      <x:c r="N1319" s="133" t="n">
        <x:v>47.916666666666664</x:v>
      </x:c>
      <x:c r="O1319" s="133" t="n">
        <x:v>50</x:v>
      </x:c>
      <x:c r="P1319" s="132"/>
    </x:row>
    <x:row r="1320">
      <x:c r="A1320" s="136" t="str">
        <x:v>01097006413</x:v>
      </x:c>
      <x:c r="B1320" s="132" t="str">
        <x:v>Mobile County</x:v>
      </x:c>
      <x:c r="C1320" s="132" t="n">
        <x:v>1</x:v>
      </x:c>
      <x:c r="D1320" s="134" t="n">
        <x:v>4110</x:v>
      </x:c>
      <x:c r="E1320" s="133" t="n">
        <x:v>5.3</x:v>
      </x:c>
      <x:c r="F1320" s="134" t="n">
        <x:v>3444</x:v>
      </x:c>
      <x:c r="G1320" s="134" t="n">
        <x:v>0</x:v>
      </x:c>
      <x:c r="H1320" s="134" t="n">
        <x:v>2096</x:v>
      </x:c>
      <x:c r="I1320" s="134" t="n">
        <x:v>1756</x:v>
      </x:c>
      <x:c r="J1320" s="133" t="n">
        <x:v>50.99756690997567</x:v>
      </x:c>
      <x:c r="K1320" s="133" t="n">
        <x:v>50.987224157955865</x:v>
      </x:c>
      <x:c r="L1320" s="133" t="n">
        <x:v>50.970873786407765</x:v>
      </x:c>
      <x:c r="M1320" s="133" t="n">
        <x:v>50.936967632027255</x:v>
      </x:c>
      <x:c r="N1320" s="133" t="n">
        <x:v>50</x:v>
      </x:c>
      <x:c r="O1320" s="133" t="n">
        <x:v>52.38095238095238</x:v>
      </x:c>
      <x:c r="P1320" s="132"/>
    </x:row>
    <x:row r="1321">
      <x:c r="A1321" s="136" t="str">
        <x:v>01101005605</x:v>
      </x:c>
      <x:c r="B1321" s="132" t="str">
        <x:v>Montgomery County</x:v>
      </x:c>
      <x:c r="C1321" s="132" t="n">
        <x:v>1</x:v>
      </x:c>
      <x:c r="D1321" s="134" t="n">
        <x:v>3712</x:v>
      </x:c>
      <x:c r="E1321" s="133" t="n">
        <x:v>16</x:v>
      </x:c>
      <x:c r="F1321" s="134" t="n">
        <x:v>2909</x:v>
      </x:c>
      <x:c r="G1321" s="134" t="n">
        <x:v>0</x:v>
      </x:c>
      <x:c r="H1321" s="134" t="n">
        <x:v>2247</x:v>
      </x:c>
      <x:c r="I1321" s="134" t="n">
        <x:v>1761</x:v>
      </x:c>
      <x:c r="J1321" s="133" t="n">
        <x:v>60.533405172413794</x:v>
      </x:c>
      <x:c r="K1321" s="133" t="n">
        <x:v>60.5362667583362</x:v>
      </x:c>
      <x:c r="L1321" s="133" t="n">
        <x:v>60.47979797979798</x:v>
      </x:c>
      <x:c r="M1321" s="133" t="n">
        <x:v>60.592592592592595</x:v>
      </x:c>
      <x:c r="N1321" s="133" t="n">
        <x:v>61.03896103896104</x:v>
      </x:c>
      <x:c r="O1321" s="133" t="n">
        <x:v>60.60606060606061</x:v>
      </x:c>
      <x:c r="P1321" s="132"/>
    </x:row>
    <x:row r="1322">
      <x:c r="A1322" s="136" t="str">
        <x:v>01051031100</x:v>
      </x:c>
      <x:c r="B1322" s="132" t="str">
        <x:v>Elmore County</x:v>
      </x:c>
      <x:c r="C1322" s="132" t="n">
        <x:v>1</x:v>
      </x:c>
      <x:c r="D1322" s="134" t="n">
        <x:v>4267</x:v>
      </x:c>
      <x:c r="E1322" s="133" t="n">
        <x:v>6.2</x:v>
      </x:c>
      <x:c r="F1322" s="134" t="n">
        <x:v>3185</x:v>
      </x:c>
      <x:c r="G1322" s="134" t="n">
        <x:v>0</x:v>
      </x:c>
      <x:c r="H1322" s="134" t="n">
        <x:v>2373</x:v>
      </x:c>
      <x:c r="I1322" s="134" t="n">
        <x:v>1771</x:v>
      </x:c>
      <x:c r="J1322" s="133" t="n">
        <x:v>55.61284274666042</x:v>
      </x:c>
      <x:c r="K1322" s="133" t="n">
        <x:v>55.604395604395606</x:v>
      </x:c>
      <x:c r="L1322" s="133" t="n">
        <x:v>55.59038662486938</x:v>
      </x:c>
      <x:c r="M1322" s="133" t="n">
        <x:v>55.62347188264059</x:v>
      </x:c>
      <x:c r="N1322" s="133" t="n">
        <x:v>57.142857142857146</x:v>
      </x:c>
      <x:c r="O1322" s="133" t="n">
        <x:v>56</x:v>
      </x:c>
      <x:c r="P1322" s="132"/>
    </x:row>
    <x:row r="1323">
      <x:c r="A1323" s="136" t="str">
        <x:v>01097006803</x:v>
      </x:c>
      <x:c r="B1323" s="132" t="str">
        <x:v>Mobile County</x:v>
      </x:c>
      <x:c r="C1323" s="132" t="n">
        <x:v>1</x:v>
      </x:c>
      <x:c r="D1323" s="134" t="n">
        <x:v>3104</x:v>
      </x:c>
      <x:c r="E1323" s="133" t="n">
        <x:v>3.7</x:v>
      </x:c>
      <x:c r="F1323" s="134" t="n">
        <x:v>2375</x:v>
      </x:c>
      <x:c r="G1323" s="134" t="n">
        <x:v>0</x:v>
      </x:c>
      <x:c r="H1323" s="134" t="n">
        <x:v>2315</x:v>
      </x:c>
      <x:c r="I1323" s="134" t="n">
        <x:v>1771</x:v>
      </x:c>
      <x:c r="J1323" s="133" t="n">
        <x:v>74.58118556701031</x:v>
      </x:c>
      <x:c r="K1323" s="133" t="n">
        <x:v>74.56842105263158</x:v>
      </x:c>
      <x:c r="L1323" s="133" t="n">
        <x:v>74.5127436281859</x:v>
      </x:c>
      <x:c r="M1323" s="133" t="n">
        <x:v>74.5928338762215</x:v>
      </x:c>
      <x:c r="N1323" s="133"/>
      <x:c r="O1323" s="133" t="n">
        <x:v>74.6268656716418</x:v>
      </x:c>
      <x:c r="P1323" s="132"/>
    </x:row>
    <x:row r="1324">
      <x:c r="A1324" s="136" t="str">
        <x:v>01117030317</x:v>
      </x:c>
      <x:c r="B1324" s="132" t="str">
        <x:v>Shelby County</x:v>
      </x:c>
      <x:c r="C1324" s="132" t="n">
        <x:v>1</x:v>
      </x:c>
      <x:c r="D1324" s="134" t="n">
        <x:v>4111</x:v>
      </x:c>
      <x:c r="E1324" s="133" t="n">
        <x:v>4.4</x:v>
      </x:c>
      <x:c r="F1324" s="134" t="n">
        <x:v>4451</x:v>
      </x:c>
      <x:c r="G1324" s="134" t="n">
        <x:v>0</x:v>
      </x:c>
      <x:c r="H1324" s="134" t="n">
        <x:v>1642</x:v>
      </x:c>
      <x:c r="I1324" s="134" t="n">
        <x:v>1778</x:v>
      </x:c>
      <x:c r="J1324" s="133" t="n">
        <x:v>39.941620043784965</x:v>
      </x:c>
      <x:c r="K1324" s="133" t="n">
        <x:v>39.94607953268928</x:v>
      </x:c>
      <x:c r="L1324" s="133" t="n">
        <x:v>39.94540491355778</x:v>
      </x:c>
      <x:c r="M1324" s="133" t="n">
        <x:v>39.95983935742972</x:v>
      </x:c>
      <x:c r="N1324" s="133" t="n">
        <x:v>39.285714285714285</x:v>
      </x:c>
      <x:c r="O1324" s="133" t="n">
        <x:v>39.285714285714285</x:v>
      </x:c>
      <x:c r="P1324" s="132"/>
    </x:row>
    <x:row r="1325">
      <x:c r="A1325" s="136" t="str">
        <x:v>01125010407</x:v>
      </x:c>
      <x:c r="B1325" s="132" t="str">
        <x:v>Tuscaloosa County</x:v>
      </x:c>
      <x:c r="C1325" s="132" t="n">
        <x:v>1</x:v>
      </x:c>
      <x:c r="D1325" s="134" t="n">
        <x:v>3504</x:v>
      </x:c>
      <x:c r="E1325" s="133" t="n">
        <x:v>18.9</x:v>
      </x:c>
      <x:c r="F1325" s="134" t="n">
        <x:v>2592</x:v>
      </x:c>
      <x:c r="G1325" s="134" t="n">
        <x:v>0</x:v>
      </x:c>
      <x:c r="H1325" s="134" t="n">
        <x:v>2414</x:v>
      </x:c>
      <x:c r="I1325" s="134" t="n">
        <x:v>1786</x:v>
      </x:c>
      <x:c r="J1325" s="133" t="n">
        <x:v>68.89269406392694</x:v>
      </x:c>
      <x:c r="K1325" s="133" t="n">
        <x:v>68.90432098765432</x:v>
      </x:c>
      <x:c r="L1325" s="133" t="n">
        <x:v>68.86145404663924</x:v>
      </x:c>
      <x:c r="M1325" s="133" t="n">
        <x:v>68.89185580774365</x:v>
      </x:c>
      <x:c r="N1325" s="133" t="n">
        <x:v>69.0909090909091</x:v>
      </x:c>
      <x:c r="O1325" s="133" t="n">
        <x:v>68.64864864864865</x:v>
      </x:c>
      <x:c r="P1325" s="132"/>
    </x:row>
    <x:row r="1326">
      <x:c r="A1326" s="136" t="str">
        <x:v>01089010706</x:v>
      </x:c>
      <x:c r="B1326" s="132" t="str">
        <x:v>Madison County</x:v>
      </x:c>
      <x:c r="C1326" s="132" t="n">
        <x:v>1</x:v>
      </x:c>
      <x:c r="D1326" s="134" t="n">
        <x:v>4794</x:v>
      </x:c>
      <x:c r="E1326" s="133" t="n">
        <x:v>13.1</x:v>
      </x:c>
      <x:c r="F1326" s="134" t="n">
        <x:v>3233</x:v>
      </x:c>
      <x:c r="G1326" s="134" t="n">
        <x:v>0</x:v>
      </x:c>
      <x:c r="H1326" s="134" t="n">
        <x:v>2687</x:v>
      </x:c>
      <x:c r="I1326" s="134" t="n">
        <x:v>1812</x:v>
      </x:c>
      <x:c r="J1326" s="133" t="n">
        <x:v>56.049228201919064</x:v>
      </x:c>
      <x:c r="K1326" s="133" t="n">
        <x:v>56.04701515620167</x:v>
      </x:c>
      <x:c r="L1326" s="133" t="n">
        <x:v>56.02094240837696</x:v>
      </x:c>
      <x:c r="M1326" s="133" t="n">
        <x:v>56.08272506082725</x:v>
      </x:c>
      <x:c r="N1326" s="133" t="n">
        <x:v>56.52173913043478</x:v>
      </x:c>
      <x:c r="O1326" s="133" t="n">
        <x:v>56.45161290322581</x:v>
      </x:c>
      <x:c r="P1326" s="132"/>
    </x:row>
    <x:row r="1327">
      <x:c r="A1327" s="136" t="str">
        <x:v>01117030316</x:v>
      </x:c>
      <x:c r="B1327" s="132" t="str">
        <x:v>Shelby County</x:v>
      </x:c>
      <x:c r="C1327" s="132" t="n">
        <x:v>1</x:v>
      </x:c>
      <x:c r="D1327" s="134" t="n">
        <x:v>5096</x:v>
      </x:c>
      <x:c r="E1327" s="133" t="n">
        <x:v>2.6</x:v>
      </x:c>
      <x:c r="F1327" s="134" t="n">
        <x:v>3437</x:v>
      </x:c>
      <x:c r="G1327" s="134" t="n">
        <x:v>0</x:v>
      </x:c>
      <x:c r="H1327" s="134" t="n">
        <x:v>2701</x:v>
      </x:c>
      <x:c r="I1327" s="134" t="n">
        <x:v>1822</x:v>
      </x:c>
      <x:c r="J1327" s="133" t="n">
        <x:v>53.00235478806908</x:v>
      </x:c>
      <x:c r="K1327" s="133" t="n">
        <x:v>53.01134710503346</x:v>
      </x:c>
      <x:c r="L1327" s="133" t="n">
        <x:v>53.04054054054054</x:v>
      </x:c>
      <x:c r="M1327" s="133" t="n">
        <x:v>53.00146412884334</x:v>
      </x:c>
      <x:c r="N1327" s="133"/>
      <x:c r="O1327" s="133" t="n">
        <x:v>53.03030303030303</x:v>
      </x:c>
      <x:c r="P1327" s="132"/>
    </x:row>
    <x:row r="1328">
      <x:c r="A1328" s="136" t="str">
        <x:v>01003011503</x:v>
      </x:c>
      <x:c r="B1328" s="132" t="str">
        <x:v>Baldwin County</x:v>
      </x:c>
      <x:c r="C1328" s="132" t="n">
        <x:v>1</x:v>
      </x:c>
      <x:c r="D1328" s="134" t="n">
        <x:v>7482</x:v>
      </x:c>
      <x:c r="E1328" s="133" t="n">
        <x:v>9.7</x:v>
      </x:c>
      <x:c r="F1328" s="134" t="n">
        <x:v>5672</x:v>
      </x:c>
      <x:c r="G1328" s="134" t="n">
        <x:v>0</x:v>
      </x:c>
      <x:c r="H1328" s="134" t="n">
        <x:v>2420</x:v>
      </x:c>
      <x:c r="I1328" s="134" t="n">
        <x:v>1834</x:v>
      </x:c>
      <x:c r="J1328" s="133" t="n">
        <x:v>32.344292969794175</x:v>
      </x:c>
      <x:c r="K1328" s="133" t="n">
        <x:v>32.334273624823695</x:v>
      </x:c>
      <x:c r="L1328" s="133" t="n">
        <x:v>32.317460317460316</x:v>
      </x:c>
      <x:c r="M1328" s="133" t="n">
        <x:v>32.32944068838353</x:v>
      </x:c>
      <x:c r="N1328" s="133" t="n">
        <x:v>32.41379310344828</x:v>
      </x:c>
      <x:c r="O1328" s="133" t="n">
        <x:v>32.121212121212125</x:v>
      </x:c>
      <x:c r="P1328" s="132"/>
    </x:row>
    <x:row r="1329">
      <x:c r="A1329" s="136" t="str">
        <x:v>01069040204</x:v>
      </x:c>
      <x:c r="B1329" s="132" t="str">
        <x:v>Houston County</x:v>
      </x:c>
      <x:c r="C1329" s="132" t="n">
        <x:v>1</x:v>
      </x:c>
      <x:c r="D1329" s="134" t="n">
        <x:v>5884</x:v>
      </x:c>
      <x:c r="E1329" s="133" t="n">
        <x:v>9</x:v>
      </x:c>
      <x:c r="F1329" s="134" t="n">
        <x:v>4814</x:v>
      </x:c>
      <x:c r="G1329" s="134" t="n">
        <x:v>0</x:v>
      </x:c>
      <x:c r="H1329" s="134" t="n">
        <x:v>2254</x:v>
      </x:c>
      <x:c r="I1329" s="134" t="n">
        <x:v>1844</x:v>
      </x:c>
      <x:c r="J1329" s="133" t="n">
        <x:v>38.30727396329028</x:v>
      </x:c>
      <x:c r="K1329" s="133" t="n">
        <x:v>38.304943913585376</x:v>
      </x:c>
      <x:c r="L1329" s="133" t="n">
        <x:v>38.28867761452031</x:v>
      </x:c>
      <x:c r="M1329" s="133" t="n">
        <x:v>38.32658569500675</x:v>
      </x:c>
      <x:c r="N1329" s="133" t="n">
        <x:v>37.878787878787875</x:v>
      </x:c>
      <x:c r="O1329" s="133" t="n">
        <x:v>38.06818181818182</x:v>
      </x:c>
      <x:c r="P1329" s="132"/>
    </x:row>
    <x:row r="1330">
      <x:c r="A1330" s="136" t="str">
        <x:v>01097005601</x:v>
      </x:c>
      <x:c r="B1330" s="132" t="str">
        <x:v>Mobile County</x:v>
      </x:c>
      <x:c r="C1330" s="132" t="n">
        <x:v>1</x:v>
      </x:c>
      <x:c r="D1330" s="134" t="n">
        <x:v>3068</x:v>
      </x:c>
      <x:c r="E1330" s="133" t="n">
        <x:v>5.1</x:v>
      </x:c>
      <x:c r="F1330" s="134" t="n">
        <x:v>2131</x:v>
      </x:c>
      <x:c r="G1330" s="134" t="n">
        <x:v>0</x:v>
      </x:c>
      <x:c r="H1330" s="134" t="n">
        <x:v>2667</x:v>
      </x:c>
      <x:c r="I1330" s="134" t="n">
        <x:v>1852</x:v>
      </x:c>
      <x:c r="J1330" s="133" t="n">
        <x:v>86.92959582790091</x:v>
      </x:c>
      <x:c r="K1330" s="133" t="n">
        <x:v>86.90755513843266</x:v>
      </x:c>
      <x:c r="L1330" s="133" t="n">
        <x:v>86.89547581903277</x:v>
      </x:c>
      <x:c r="M1330" s="133" t="n">
        <x:v>86.92528735632185</x:v>
      </x:c>
      <x:c r="N1330" s="133"/>
      <x:c r="O1330" s="133" t="n">
        <x:v>87.17948717948718</x:v>
      </x:c>
      <x:c r="P1330" s="132"/>
    </x:row>
    <x:row r="1331">
      <x:c r="A1331" s="136" t="str">
        <x:v>01077011504</x:v>
      </x:c>
      <x:c r="B1331" s="132" t="str">
        <x:v>Lauderdale County</x:v>
      </x:c>
      <x:c r="C1331" s="132" t="n">
        <x:v>1</x:v>
      </x:c>
      <x:c r="D1331" s="134" t="n">
        <x:v>4347</x:v>
      </x:c>
      <x:c r="E1331" s="133" t="n">
        <x:v>7.1</x:v>
      </x:c>
      <x:c r="F1331" s="134" t="n">
        <x:v>3308</x:v>
      </x:c>
      <x:c r="G1331" s="134" t="n">
        <x:v>0</x:v>
      </x:c>
      <x:c r="H1331" s="134" t="n">
        <x:v>2447</x:v>
      </x:c>
      <x:c r="I1331" s="134" t="n">
        <x:v>1862</x:v>
      </x:c>
      <x:c r="J1331" s="133" t="n">
        <x:v>56.2916954221302</x:v>
      </x:c>
      <x:c r="K1331" s="133" t="n">
        <x:v>56.287787182587664</x:v>
      </x:c>
      <x:c r="L1331" s="133" t="n">
        <x:v>56.351351351351354</x:v>
      </x:c>
      <x:c r="M1331" s="133" t="n">
        <x:v>56.26740947075209</x:v>
      </x:c>
      <x:c r="N1331" s="133" t="n">
        <x:v>57.142857142857146</x:v>
      </x:c>
      <x:c r="O1331" s="133" t="n">
        <x:v>56.73076923076923</x:v>
      </x:c>
      <x:c r="P1331" s="132"/>
    </x:row>
    <x:row r="1332">
      <x:c r="A1332" s="136" t="str">
        <x:v>01003011202</x:v>
      </x:c>
      <x:c r="B1332" s="132" t="str">
        <x:v>Baldwin County</x:v>
      </x:c>
      <x:c r="C1332" s="132" t="n">
        <x:v>1</x:v>
      </x:c>
      <x:c r="D1332" s="134" t="n">
        <x:v>6773</x:v>
      </x:c>
      <x:c r="E1332" s="133" t="n">
        <x:v>8.2</x:v>
      </x:c>
      <x:c r="F1332" s="134" t="n">
        <x:v>5344</x:v>
      </x:c>
      <x:c r="G1332" s="134" t="n">
        <x:v>0</x:v>
      </x:c>
      <x:c r="H1332" s="134" t="n">
        <x:v>2385</x:v>
      </x:c>
      <x:c r="I1332" s="134" t="n">
        <x:v>1882</x:v>
      </x:c>
      <x:c r="J1332" s="133" t="n">
        <x:v>35.21334711353905</x:v>
      </x:c>
      <x:c r="K1332" s="133" t="n">
        <x:v>35.217065868263475</x:v>
      </x:c>
      <x:c r="L1332" s="133" t="n">
        <x:v>35.182250396196515</x:v>
      </x:c>
      <x:c r="M1332" s="133" t="n">
        <x:v>35.22727272727273</x:v>
      </x:c>
      <x:c r="N1332" s="133" t="n">
        <x:v>35.57692307692308</x:v>
      </x:c>
      <x:c r="O1332" s="133" t="n">
        <x:v>35.1063829787234</x:v>
      </x:c>
      <x:c r="P1332" s="132"/>
    </x:row>
    <x:row r="1333">
      <x:c r="A1333" s="136" t="str">
        <x:v>01125010206</x:v>
      </x:c>
      <x:c r="B1333" s="132" t="str">
        <x:v>Tuscaloosa County</x:v>
      </x:c>
      <x:c r="C1333" s="132" t="n">
        <x:v>1</x:v>
      </x:c>
      <x:c r="D1333" s="134" t="n">
        <x:v>5129</x:v>
      </x:c>
      <x:c r="E1333" s="133" t="n">
        <x:v>8</x:v>
      </x:c>
      <x:c r="F1333" s="134" t="n">
        <x:v>4169</x:v>
      </x:c>
      <x:c r="G1333" s="134" t="n">
        <x:v>0</x:v>
      </x:c>
      <x:c r="H1333" s="134" t="n">
        <x:v>2353</x:v>
      </x:c>
      <x:c r="I1333" s="134" t="n">
        <x:v>1912</x:v>
      </x:c>
      <x:c r="J1333" s="133" t="n">
        <x:v>45.87638915968025</x:v>
      </x:c>
      <x:c r="K1333" s="133" t="n">
        <x:v>45.862317102422644</x:v>
      </x:c>
      <x:c r="L1333" s="133" t="n">
        <x:v>45.91029023746702</x:v>
      </x:c>
      <x:c r="M1333" s="133" t="n">
        <x:v>45.86693548387097</x:v>
      </x:c>
      <x:c r="N1333" s="133" t="n">
        <x:v>46.017699115044245</x:v>
      </x:c>
      <x:c r="O1333" s="133" t="n">
        <x:v>45.833333333333336</x:v>
      </x:c>
      <x:c r="P1333" s="132"/>
    </x:row>
    <x:row r="1334">
      <x:c r="A1334" s="136" t="str">
        <x:v>01103005302</x:v>
      </x:c>
      <x:c r="B1334" s="132" t="str">
        <x:v>Morgan County</x:v>
      </x:c>
      <x:c r="C1334" s="132" t="n">
        <x:v>1</x:v>
      </x:c>
      <x:c r="D1334" s="134" t="n">
        <x:v>4149</x:v>
      </x:c>
      <x:c r="E1334" s="133" t="n">
        <x:v>18.3</x:v>
      </x:c>
      <x:c r="F1334" s="134" t="n">
        <x:v>3006</x:v>
      </x:c>
      <x:c r="G1334" s="134" t="n">
        <x:v>0</x:v>
      </x:c>
      <x:c r="H1334" s="134" t="n">
        <x:v>2648</x:v>
      </x:c>
      <x:c r="I1334" s="134" t="n">
        <x:v>1919</x:v>
      </x:c>
      <x:c r="J1334" s="133" t="n">
        <x:v>63.82260785731501</x:v>
      </x:c>
      <x:c r="K1334" s="133" t="n">
        <x:v>63.838988689288094</x:v>
      </x:c>
      <x:c r="L1334" s="133" t="n">
        <x:v>63.81709741550696</x:v>
      </x:c>
      <x:c r="M1334" s="133" t="n">
        <x:v>63.863337713534825</x:v>
      </x:c>
      <x:c r="N1334" s="133" t="n">
        <x:v>63.888888888888886</x:v>
      </x:c>
      <x:c r="O1334" s="133" t="n">
        <x:v>63.96396396396396</x:v>
      </x:c>
      <x:c r="P1334" s="132"/>
    </x:row>
    <x:row r="1335">
      <x:c r="A1335" s="136" t="str">
        <x:v>01089001401</x:v>
      </x:c>
      <x:c r="B1335" s="132" t="str">
        <x:v>Madison County</x:v>
      </x:c>
      <x:c r="C1335" s="132" t="n">
        <x:v>1</x:v>
      </x:c>
      <x:c r="D1335" s="134" t="n">
        <x:v>2347</x:v>
      </x:c>
      <x:c r="E1335" s="133" t="n">
        <x:v>5</x:v>
      </x:c>
      <x:c r="F1335" s="134" t="n">
        <x:v>2368</x:v>
      </x:c>
      <x:c r="G1335" s="134" t="n">
        <x:v>0</x:v>
      </x:c>
      <x:c r="H1335" s="134" t="n">
        <x:v>1923</x:v>
      </x:c>
      <x:c r="I1335" s="134" t="n">
        <x:v>1940</x:v>
      </x:c>
      <x:c r="J1335" s="133" t="n">
        <x:v>81.93438432040904</x:v>
      </x:c>
      <x:c r="K1335" s="133" t="n">
        <x:v>81.92567567567568</x:v>
      </x:c>
      <x:c r="L1335" s="133" t="n">
        <x:v>81.84210526315789</x:v>
      </x:c>
      <x:c r="M1335" s="133" t="n">
        <x:v>81.97879858657244</x:v>
      </x:c>
      <x:c r="N1335" s="133" t="n">
        <x:v>80</x:v>
      </x:c>
      <x:c r="O1335" s="133" t="n">
        <x:v>83.33333333333333</x:v>
      </x:c>
      <x:c r="P1335" s="132"/>
    </x:row>
    <x:row r="1336">
      <x:c r="A1336" s="136" t="str">
        <x:v>01089010630</x:v>
      </x:c>
      <x:c r="B1336" s="132" t="str">
        <x:v>Madison County</x:v>
      </x:c>
      <x:c r="C1336" s="132" t="n">
        <x:v>1</x:v>
      </x:c>
      <x:c r="D1336" s="134" t="n">
        <x:v>3195</x:v>
      </x:c>
      <x:c r="E1336" s="133" t="n">
        <x:v>1.4</x:v>
      </x:c>
      <x:c r="F1336" s="134" t="n">
        <x:v>2745</x:v>
      </x:c>
      <x:c r="G1336" s="134" t="n">
        <x:v>0</x:v>
      </x:c>
      <x:c r="H1336" s="134" t="n">
        <x:v>2269</x:v>
      </x:c>
      <x:c r="I1336" s="134" t="n">
        <x:v>1949</x:v>
      </x:c>
      <x:c r="J1336" s="133" t="n">
        <x:v>71.01721439749609</x:v>
      </x:c>
      <x:c r="K1336" s="133" t="n">
        <x:v>71.00182149362477</x:v>
      </x:c>
      <x:c r="L1336" s="133" t="n">
        <x:v>71.00175746924428</x:v>
      </x:c>
      <x:c r="M1336" s="133" t="n">
        <x:v>71.07692307692308</x:v>
      </x:c>
      <x:c r="N1336" s="133"/>
      <x:c r="O1336" s="133"/>
      <x:c r="P1336" s="132"/>
    </x:row>
    <x:row r="1337">
      <x:c r="A1337" s="136" t="str">
        <x:v>01081042007</x:v>
      </x:c>
      <x:c r="B1337" s="132" t="str">
        <x:v>Lee County</x:v>
      </x:c>
      <x:c r="C1337" s="132" t="n">
        <x:v>1</x:v>
      </x:c>
      <x:c r="D1337" s="134" t="n">
        <x:v>3123</x:v>
      </x:c>
      <x:c r="E1337" s="133" t="n">
        <x:v>12.6</x:v>
      </x:c>
      <x:c r="F1337" s="134" t="n">
        <x:v>2239</x:v>
      </x:c>
      <x:c r="G1337" s="134" t="n">
        <x:v>0</x:v>
      </x:c>
      <x:c r="H1337" s="134" t="n">
        <x:v>2724</x:v>
      </x:c>
      <x:c r="I1337" s="134" t="n">
        <x:v>1953</x:v>
      </x:c>
      <x:c r="J1337" s="133" t="n">
        <x:v>87.223823246878</x:v>
      </x:c>
      <x:c r="K1337" s="133" t="n">
        <x:v>87.22644037516748</x:v>
      </x:c>
      <x:c r="L1337" s="133" t="n">
        <x:v>87.20657276995306</x:v>
      </x:c>
      <x:c r="M1337" s="133" t="n">
        <x:v>87.33333333333333</x:v>
      </x:c>
      <x:c r="N1337" s="133" t="n">
        <x:v>87.36842105263158</x:v>
      </x:c>
      <x:c r="O1337" s="133" t="n">
        <x:v>87.64044943820225</x:v>
      </x:c>
      <x:c r="P1337" s="132"/>
    </x:row>
    <x:row r="1338">
      <x:c r="A1338" s="136" t="str">
        <x:v>01101005609</x:v>
      </x:c>
      <x:c r="B1338" s="132" t="str">
        <x:v>Montgomery County</x:v>
      </x:c>
      <x:c r="C1338" s="132" t="n">
        <x:v>1</x:v>
      </x:c>
      <x:c r="D1338" s="134" t="n">
        <x:v>5034</x:v>
      </x:c>
      <x:c r="E1338" s="133" t="n">
        <x:v>3.7</x:v>
      </x:c>
      <x:c r="F1338" s="134" t="n">
        <x:v>4493</x:v>
      </x:c>
      <x:c r="G1338" s="134" t="n">
        <x:v>0</x:v>
      </x:c>
      <x:c r="H1338" s="134" t="n">
        <x:v>2188</x:v>
      </x:c>
      <x:c r="I1338" s="134" t="n">
        <x:v>1953</x:v>
      </x:c>
      <x:c r="J1338" s="133" t="n">
        <x:v>43.46444179578864</x:v>
      </x:c>
      <x:c r="K1338" s="133" t="n">
        <x:v>43.467616292009794</x:v>
      </x:c>
      <x:c r="L1338" s="133" t="n">
        <x:v>43.50132625994695</x:v>
      </x:c>
      <x:c r="M1338" s="133" t="n">
        <x:v>43.57142857142857</x:v>
      </x:c>
      <x:c r="N1338" s="133" t="n">
        <x:v>42.42424242424242</x:v>
      </x:c>
      <x:c r="O1338" s="133" t="n">
        <x:v>43.42857142857143</x:v>
      </x:c>
      <x:c r="P1338" s="132"/>
    </x:row>
    <x:row r="1339">
      <x:c r="A1339" s="136" t="str">
        <x:v>01073011004</x:v>
      </x:c>
      <x:c r="B1339" s="132" t="str">
        <x:v>Jefferson County</x:v>
      </x:c>
      <x:c r="C1339" s="132" t="n">
        <x:v>1</x:v>
      </x:c>
      <x:c r="D1339" s="134" t="n">
        <x:v>3643</x:v>
      </x:c>
      <x:c r="E1339" s="133" t="n">
        <x:v>3.1</x:v>
      </x:c>
      <x:c r="F1339" s="134" t="n">
        <x:v>2481</x:v>
      </x:c>
      <x:c r="G1339" s="134" t="n">
        <x:v>0</x:v>
      </x:c>
      <x:c r="H1339" s="134" t="n">
        <x:v>2874</x:v>
      </x:c>
      <x:c r="I1339" s="134" t="n">
        <x:v>1958</x:v>
      </x:c>
      <x:c r="J1339" s="133" t="n">
        <x:v>78.89102388141642</x:v>
      </x:c>
      <x:c r="K1339" s="133" t="n">
        <x:v>78.91979040709391</x:v>
      </x:c>
      <x:c r="L1339" s="133" t="n">
        <x:v>78.86658795749705</x:v>
      </x:c>
      <x:c r="M1339" s="133" t="n">
        <x:v>78.95500725689405</x:v>
      </x:c>
      <x:c r="N1339" s="133" t="n">
        <x:v>80</x:v>
      </x:c>
      <x:c r="O1339" s="133" t="n">
        <x:v>79.3103448275862</x:v>
      </x:c>
      <x:c r="P1339" s="132"/>
    </x:row>
    <x:row r="1340">
      <x:c r="A1340" s="136" t="str">
        <x:v>01097006503</x:v>
      </x:c>
      <x:c r="B1340" s="132" t="str">
        <x:v>Mobile County</x:v>
      </x:c>
      <x:c r="C1340" s="132" t="n">
        <x:v>1</x:v>
      </x:c>
      <x:c r="D1340" s="134" t="n">
        <x:v>3726</x:v>
      </x:c>
      <x:c r="E1340" s="133" t="n">
        <x:v>7</x:v>
      </x:c>
      <x:c r="F1340" s="134" t="n">
        <x:v>3023</x:v>
      </x:c>
      <x:c r="G1340" s="134" t="n">
        <x:v>0</x:v>
      </x:c>
      <x:c r="H1340" s="134" t="n">
        <x:v>2430</x:v>
      </x:c>
      <x:c r="I1340" s="134" t="n">
        <x:v>1971</x:v>
      </x:c>
      <x:c r="J1340" s="133" t="n">
        <x:v>65.21739130434783</x:v>
      </x:c>
      <x:c r="K1340" s="133" t="n">
        <x:v>65.20013231888852</x:v>
      </x:c>
      <x:c r="L1340" s="133" t="n">
        <x:v>65.25590551181102</x:v>
      </x:c>
      <x:c r="M1340" s="133" t="n">
        <x:v>65.2452025586354</x:v>
      </x:c>
      <x:c r="N1340" s="133" t="n">
        <x:v>70</x:v>
      </x:c>
      <x:c r="O1340" s="133" t="n">
        <x:v>65.38461538461539</x:v>
      </x:c>
      <x:c r="P1340" s="132"/>
    </x:row>
    <x:row r="1341">
      <x:c r="A1341" s="136" t="str">
        <x:v>01073011709</x:v>
      </x:c>
      <x:c r="B1341" s="132" t="str">
        <x:v>Jefferson County</x:v>
      </x:c>
      <x:c r="C1341" s="132" t="n">
        <x:v>1</x:v>
      </x:c>
      <x:c r="D1341" s="134" t="n">
        <x:v>4956</x:v>
      </x:c>
      <x:c r="E1341" s="133" t="n">
        <x:v>6.1</x:v>
      </x:c>
      <x:c r="F1341" s="134" t="n">
        <x:v>3212</x:v>
      </x:c>
      <x:c r="G1341" s="134" t="n">
        <x:v>0</x:v>
      </x:c>
      <x:c r="H1341" s="134" t="n">
        <x:v>3064</x:v>
      </x:c>
      <x:c r="I1341" s="134" t="n">
        <x:v>1986</x:v>
      </x:c>
      <x:c r="J1341" s="133" t="n">
        <x:v>61.82405165456013</x:v>
      </x:c>
      <x:c r="K1341" s="133" t="n">
        <x:v>61.830635118306354</x:v>
      </x:c>
      <x:c r="L1341" s="133" t="n">
        <x:v>61.84971098265896</x:v>
      </x:c>
      <x:c r="M1341" s="133" t="n">
        <x:v>61.77685950413223</x:v>
      </x:c>
      <x:c r="N1341" s="133" t="n">
        <x:v>62.5</x:v>
      </x:c>
      <x:c r="O1341" s="133" t="n">
        <x:v>62.01923076923077</x:v>
      </x:c>
      <x:c r="P1341" s="132"/>
    </x:row>
    <x:row r="1342">
      <x:c r="A1342" s="136" t="str">
        <x:v>01073010804</x:v>
      </x:c>
      <x:c r="B1342" s="132" t="str">
        <x:v>Jefferson County</x:v>
      </x:c>
      <x:c r="C1342" s="132" t="n">
        <x:v>1</x:v>
      </x:c>
      <x:c r="D1342" s="134" t="n">
        <x:v>3312</x:v>
      </x:c>
      <x:c r="E1342" s="133" t="n">
        <x:v>1.9</x:v>
      </x:c>
      <x:c r="F1342" s="134" t="n">
        <x:v>3063</x:v>
      </x:c>
      <x:c r="G1342" s="134" t="n">
        <x:v>0</x:v>
      </x:c>
      <x:c r="H1342" s="134" t="n">
        <x:v>2149</x:v>
      </x:c>
      <x:c r="I1342" s="134" t="n">
        <x:v>1988</x:v>
      </x:c>
      <x:c r="J1342" s="133" t="n">
        <x:v>64.88526570048309</x:v>
      </x:c>
      <x:c r="K1342" s="133" t="n">
        <x:v>64.90368919360104</x:v>
      </x:c>
      <x:c r="L1342" s="133" t="n">
        <x:v>64.92450638792103</x:v>
      </x:c>
      <x:c r="M1342" s="133" t="n">
        <x:v>64.89675516224189</x:v>
      </x:c>
      <x:c r="N1342" s="133" t="n">
        <x:v>64.28571428571429</x:v>
      </x:c>
      <x:c r="O1342" s="133"/>
      <x:c r="P1342" s="132"/>
    </x:row>
    <x:row r="1343">
      <x:c r="A1343" s="136" t="str">
        <x:v>01073014405</x:v>
      </x:c>
      <x:c r="B1343" s="132" t="str">
        <x:v>Jefferson County</x:v>
      </x:c>
      <x:c r="C1343" s="132" t="n">
        <x:v>1</x:v>
      </x:c>
      <x:c r="D1343" s="134" t="n">
        <x:v>4226</x:v>
      </x:c>
      <x:c r="E1343" s="133" t="n">
        <x:v>14.3</x:v>
      </x:c>
      <x:c r="F1343" s="134" t="n">
        <x:v>2812</x:v>
      </x:c>
      <x:c r="G1343" s="134" t="n">
        <x:v>0</x:v>
      </x:c>
      <x:c r="H1343" s="134" t="n">
        <x:v>2998</x:v>
      </x:c>
      <x:c r="I1343" s="134" t="n">
        <x:v>1995</x:v>
      </x:c>
      <x:c r="J1343" s="133" t="n">
        <x:v>70.94178892569806</x:v>
      </x:c>
      <x:c r="K1343" s="133" t="n">
        <x:v>70.94594594594595</x:v>
      </x:c>
      <x:c r="L1343" s="133" t="n">
        <x:v>70.97396335583414</x:v>
      </x:c>
      <x:c r="M1343" s="133" t="n">
        <x:v>70.97902097902097</x:v>
      </x:c>
      <x:c r="N1343" s="133" t="n">
        <x:v>71.42857142857143</x:v>
      </x:c>
      <x:c r="O1343" s="133" t="n">
        <x:v>71.02803738317758</x:v>
      </x:c>
      <x:c r="P1343" s="132"/>
    </x:row>
    <x:row r="1344">
      <x:c r="A1344" s="136" t="str">
        <x:v>01081042005</x:v>
      </x:c>
      <x:c r="B1344" s="132" t="str">
        <x:v>Lee County</x:v>
      </x:c>
      <x:c r="C1344" s="132" t="n">
        <x:v>1</x:v>
      </x:c>
      <x:c r="D1344" s="134" t="n">
        <x:v>4218</x:v>
      </x:c>
      <x:c r="E1344" s="133" t="n">
        <x:v>7.1</x:v>
      </x:c>
      <x:c r="F1344" s="134" t="n">
        <x:v>2731</x:v>
      </x:c>
      <x:c r="G1344" s="134" t="n">
        <x:v>0</x:v>
      </x:c>
      <x:c r="H1344" s="134" t="n">
        <x:v>3089</x:v>
      </x:c>
      <x:c r="I1344" s="134" t="n">
        <x:v>2000</x:v>
      </x:c>
      <x:c r="J1344" s="133" t="n">
        <x:v>73.23376007586533</x:v>
      </x:c>
      <x:c r="K1344" s="133" t="n">
        <x:v>73.23324789454412</x:v>
      </x:c>
      <x:c r="L1344" s="133" t="n">
        <x:v>73.26549491211841</x:v>
      </x:c>
      <x:c r="M1344" s="133" t="n">
        <x:v>73.26923076923077</x:v>
      </x:c>
      <x:c r="N1344" s="133" t="n">
        <x:v>73.17073170731707</x:v>
      </x:c>
      <x:c r="O1344" s="133" t="n">
        <x:v>73.13432835820896</x:v>
      </x:c>
      <x:c r="P1344" s="132"/>
    </x:row>
    <x:row r="1345">
      <x:c r="A1345" s="136" t="str">
        <x:v>01101005413</x:v>
      </x:c>
      <x:c r="B1345" s="132" t="str">
        <x:v>Montgomery County</x:v>
      </x:c>
      <x:c r="C1345" s="132" t="n">
        <x:v>1</x:v>
      </x:c>
      <x:c r="D1345" s="134" t="n">
        <x:v>3973</x:v>
      </x:c>
      <x:c r="E1345" s="133" t="n">
        <x:v>5.2</x:v>
      </x:c>
      <x:c r="F1345" s="134" t="n">
        <x:v>2694</x:v>
      </x:c>
      <x:c r="G1345" s="134" t="n">
        <x:v>0</x:v>
      </x:c>
      <x:c r="H1345" s="134" t="n">
        <x:v>2983</x:v>
      </x:c>
      <x:c r="I1345" s="134" t="n">
        <x:v>2023</x:v>
      </x:c>
      <x:c r="J1345" s="133" t="n">
        <x:v>75.08180216461112</x:v>
      </x:c>
      <x:c r="K1345" s="133" t="n">
        <x:v>75.0927988121752</x:v>
      </x:c>
      <x:c r="L1345" s="133" t="n">
        <x:v>75.12520868113522</x:v>
      </x:c>
      <x:c r="M1345" s="133" t="n">
        <x:v>75.11591962905719</x:v>
      </x:c>
      <x:c r="N1345" s="133"/>
      <x:c r="O1345" s="133" t="n">
        <x:v>80</x:v>
      </x:c>
      <x:c r="P1345" s="132"/>
    </x:row>
    <x:row r="1346">
      <x:c r="A1346" s="136" t="str">
        <x:v>01101005612</x:v>
      </x:c>
      <x:c r="B1346" s="132" t="str">
        <x:v>Montgomery County</x:v>
      </x:c>
      <x:c r="C1346" s="132" t="n">
        <x:v>1</x:v>
      </x:c>
      <x:c r="D1346" s="134" t="n">
        <x:v>2131</x:v>
      </x:c>
      <x:c r="E1346" s="133" t="n">
        <x:v>2.9</x:v>
      </x:c>
      <x:c r="F1346" s="134" t="n">
        <x:v>2063</x:v>
      </x:c>
      <x:c r="G1346" s="134" t="n">
        <x:v>0</x:v>
      </x:c>
      <x:c r="H1346" s="134" t="n">
        <x:v>2094</x:v>
      </x:c>
      <x:c r="I1346" s="134" t="n">
        <x:v>2027</x:v>
      </x:c>
      <x:c r="J1346" s="133" t="n">
        <x:v>98.26372595025809</x:v>
      </x:c>
      <x:c r="K1346" s="133" t="n">
        <x:v>98.25496849248667</x:v>
      </x:c>
      <x:c r="L1346" s="133" t="n">
        <x:v>98.19376026272577</x:v>
      </x:c>
      <x:c r="M1346" s="133" t="n">
        <x:v>98.30508474576271</x:v>
      </x:c>
      <x:c r="N1346" s="133" t="n">
        <x:v>100</x:v>
      </x:c>
      <x:c r="O1346" s="133" t="n">
        <x:v>100</x:v>
      </x:c>
      <x:c r="P1346" s="132"/>
    </x:row>
    <x:row r="1347">
      <x:c r="A1347" s="136" t="str">
        <x:v>01101005407</x:v>
      </x:c>
      <x:c r="B1347" s="132" t="str">
        <x:v>Montgomery County</x:v>
      </x:c>
      <x:c r="C1347" s="132" t="n">
        <x:v>1</x:v>
      </x:c>
      <x:c r="D1347" s="134" t="n">
        <x:v>4335</x:v>
      </x:c>
      <x:c r="E1347" s="133" t="n">
        <x:v>6.4</x:v>
      </x:c>
      <x:c r="F1347" s="134" t="n">
        <x:v>3353</x:v>
      </x:c>
      <x:c r="G1347" s="134" t="n">
        <x:v>0</x:v>
      </x:c>
      <x:c r="H1347" s="134" t="n">
        <x:v>2673</x:v>
      </x:c>
      <x:c r="I1347" s="134" t="n">
        <x:v>2067</x:v>
      </x:c>
      <x:c r="J1347" s="133" t="n">
        <x:v>61.660899653979236</x:v>
      </x:c>
      <x:c r="K1347" s="133" t="n">
        <x:v>61.646286907247244</x:v>
      </x:c>
      <x:c r="L1347" s="133" t="n">
        <x:v>61.594202898550726</x:v>
      </x:c>
      <x:c r="M1347" s="133" t="n">
        <x:v>61.627906976744185</x:v>
      </x:c>
      <x:c r="N1347" s="133" t="n">
        <x:v>61.81818181818182</x:v>
      </x:c>
      <x:c r="O1347" s="133" t="n">
        <x:v>61.1764705882353</x:v>
      </x:c>
      <x:c r="P1347" s="132"/>
    </x:row>
    <x:row r="1348">
      <x:c r="A1348" s="136" t="str">
        <x:v>01101005411</x:v>
      </x:c>
      <x:c r="B1348" s="132" t="str">
        <x:v>Montgomery County</x:v>
      </x:c>
      <x:c r="C1348" s="132" t="n">
        <x:v>1</x:v>
      </x:c>
      <x:c r="D1348" s="134" t="n">
        <x:v>3092</x:v>
      </x:c>
      <x:c r="E1348" s="133" t="n">
        <x:v>3.4</x:v>
      </x:c>
      <x:c r="F1348" s="134" t="n">
        <x:v>3006</x:v>
      </x:c>
      <x:c r="G1348" s="134" t="n">
        <x:v>0</x:v>
      </x:c>
      <x:c r="H1348" s="134" t="n">
        <x:v>2175</x:v>
      </x:c>
      <x:c r="I1348" s="134" t="n">
        <x:v>2114</x:v>
      </x:c>
      <x:c r="J1348" s="133" t="n">
        <x:v>70.34282018111254</x:v>
      </x:c>
      <x:c r="K1348" s="133" t="n">
        <x:v>70.32601463739188</x:v>
      </x:c>
      <x:c r="L1348" s="133" t="n">
        <x:v>70.28985507246377</x:v>
      </x:c>
      <x:c r="M1348" s="133" t="n">
        <x:v>70.33492822966507</x:v>
      </x:c>
      <x:c r="N1348" s="133" t="n">
        <x:v>70.83333333333333</x:v>
      </x:c>
      <x:c r="O1348" s="133"/>
      <x:c r="P1348" s="132"/>
    </x:row>
    <x:row r="1349">
      <x:c r="A1349" s="136" t="str">
        <x:v>01097006402</x:v>
      </x:c>
      <x:c r="B1349" s="132" t="str">
        <x:v>Mobile County</x:v>
      </x:c>
      <x:c r="C1349" s="132" t="n">
        <x:v>1</x:v>
      </x:c>
      <x:c r="D1349" s="134" t="n">
        <x:v>4870</x:v>
      </x:c>
      <x:c r="E1349" s="133" t="n">
        <x:v>12.8</x:v>
      </x:c>
      <x:c r="F1349" s="134" t="n">
        <x:v>3468</x:v>
      </x:c>
      <x:c r="G1349" s="134" t="n">
        <x:v>0</x:v>
      </x:c>
      <x:c r="H1349" s="134" t="n">
        <x:v>2971</x:v>
      </x:c>
      <x:c r="I1349" s="134" t="n">
        <x:v>2116</x:v>
      </x:c>
      <x:c r="J1349" s="133" t="n">
        <x:v>61.006160164271044</x:v>
      </x:c>
      <x:c r="K1349" s="133" t="n">
        <x:v>61.01499423298731</x:v>
      </x:c>
      <x:c r="L1349" s="133" t="n">
        <x:v>61.0062893081761</x:v>
      </x:c>
      <x:c r="M1349" s="133" t="n">
        <x:v>60.95505617977528</x:v>
      </x:c>
      <x:c r="N1349" s="133" t="n">
        <x:v>61.016949152542374</x:v>
      </x:c>
      <x:c r="O1349" s="133" t="n">
        <x:v>60.89108910891089</x:v>
      </x:c>
      <x:c r="P1349" s="132"/>
    </x:row>
    <x:row r="1350">
      <x:c r="A1350" s="136" t="str">
        <x:v>01097006804</x:v>
      </x:c>
      <x:c r="B1350" s="132" t="str">
        <x:v>Mobile County</x:v>
      </x:c>
      <x:c r="C1350" s="132" t="n">
        <x:v>1</x:v>
      </x:c>
      <x:c r="D1350" s="134" t="n">
        <x:v>5433</x:v>
      </x:c>
      <x:c r="E1350" s="133" t="n">
        <x:v>10.8</x:v>
      </x:c>
      <x:c r="F1350" s="134" t="n">
        <x:v>3943</x:v>
      </x:c>
      <x:c r="G1350" s="134" t="n">
        <x:v>0</x:v>
      </x:c>
      <x:c r="H1350" s="134" t="n">
        <x:v>2925</x:v>
      </x:c>
      <x:c r="I1350" s="134" t="n">
        <x:v>2123</x:v>
      </x:c>
      <x:c r="J1350" s="133" t="n">
        <x:v>53.83765875207068</x:v>
      </x:c>
      <x:c r="K1350" s="133" t="n">
        <x:v>53.8422520923155</x:v>
      </x:c>
      <x:c r="L1350" s="133" t="n">
        <x:v>53.858651502843216</x:v>
      </x:c>
      <x:c r="M1350" s="133" t="n">
        <x:v>53.867924528301884</x:v>
      </x:c>
      <x:c r="N1350" s="133" t="n">
        <x:v>52.94117647058823</x:v>
      </x:c>
      <x:c r="O1350" s="133" t="n">
        <x:v>53.92670157068063</x:v>
      </x:c>
      <x:c r="P1350" s="132"/>
    </x:row>
    <x:row r="1351">
      <x:c r="A1351" s="136" t="str">
        <x:v>01095030801</x:v>
      </x:c>
      <x:c r="B1351" s="132" t="str">
        <x:v>Marshall County</x:v>
      </x:c>
      <x:c r="C1351" s="132" t="n">
        <x:v>1</x:v>
      </x:c>
      <x:c r="D1351" s="134" t="n">
        <x:v>5137</x:v>
      </x:c>
      <x:c r="E1351" s="133" t="n">
        <x:v>18.2</x:v>
      </x:c>
      <x:c r="F1351" s="134" t="n">
        <x:v>3307</x:v>
      </x:c>
      <x:c r="G1351" s="134" t="n">
        <x:v>0</x:v>
      </x:c>
      <x:c r="H1351" s="134" t="n">
        <x:v>3308</x:v>
      </x:c>
      <x:c r="I1351" s="134" t="n">
        <x:v>2130</x:v>
      </x:c>
      <x:c r="J1351" s="133" t="n">
        <x:v>64.3955616118357</x:v>
      </x:c>
      <x:c r="K1351" s="133" t="n">
        <x:v>64.40882975506501</x:v>
      </x:c>
      <x:c r="L1351" s="133" t="n">
        <x:v>64.38263229308005</x:v>
      </x:c>
      <x:c r="M1351" s="133" t="n">
        <x:v>64.37869822485207</x:v>
      </x:c>
      <x:c r="N1351" s="133" t="n">
        <x:v>64.12213740458016</x:v>
      </x:c>
      <x:c r="O1351" s="133" t="n">
        <x:v>64.32432432432432</x:v>
      </x:c>
      <x:c r="P1351" s="132"/>
    </x:row>
    <x:row r="1352">
      <x:c r="A1352" s="136" t="str">
        <x:v>01097006306</x:v>
      </x:c>
      <x:c r="B1352" s="132" t="str">
        <x:v>Mobile County</x:v>
      </x:c>
      <x:c r="C1352" s="132" t="n">
        <x:v>1</x:v>
      </x:c>
      <x:c r="D1352" s="134" t="n">
        <x:v>4737</x:v>
      </x:c>
      <x:c r="E1352" s="133" t="n">
        <x:v>12.3</x:v>
      </x:c>
      <x:c r="F1352" s="134" t="n">
        <x:v>3803</x:v>
      </x:c>
      <x:c r="G1352" s="134" t="n">
        <x:v>0</x:v>
      </x:c>
      <x:c r="H1352" s="134" t="n">
        <x:v>2660</x:v>
      </x:c>
      <x:c r="I1352" s="134" t="n">
        <x:v>2135</x:v>
      </x:c>
      <x:c r="J1352" s="133" t="n">
        <x:v>56.153683766096684</x:v>
      </x:c>
      <x:c r="K1352" s="133" t="n">
        <x:v>56.139889560872994</x:v>
      </x:c>
      <x:c r="L1352" s="133" t="n">
        <x:v>56.128486897717664</x:v>
      </x:c>
      <x:c r="M1352" s="133" t="n">
        <x:v>56.18479880774963</x:v>
      </x:c>
      <x:c r="N1352" s="133" t="n">
        <x:v>57.69230769230769</x:v>
      </x:c>
      <x:c r="O1352" s="133" t="n">
        <x:v>56.32183908045977</x:v>
      </x:c>
      <x:c r="P1352" s="132"/>
    </x:row>
    <x:row r="1353">
      <x:c r="A1353" s="136" t="str">
        <x:v>01089011013</x:v>
      </x:c>
      <x:c r="B1353" s="132" t="str">
        <x:v>Madison County</x:v>
      </x:c>
      <x:c r="C1353" s="132" t="n">
        <x:v>1</x:v>
      </x:c>
      <x:c r="D1353" s="134" t="n">
        <x:v>4960</x:v>
      </x:c>
      <x:c r="E1353" s="133" t="n">
        <x:v>3.2</x:v>
      </x:c>
      <x:c r="F1353" s="134" t="n">
        <x:v>4246</x:v>
      </x:c>
      <x:c r="G1353" s="134" t="n">
        <x:v>0</x:v>
      </x:c>
      <x:c r="H1353" s="134" t="n">
        <x:v>2509</x:v>
      </x:c>
      <x:c r="I1353" s="134" t="n">
        <x:v>2148</x:v>
      </x:c>
      <x:c r="J1353" s="133" t="n">
        <x:v>50.58467741935484</x:v>
      </x:c>
      <x:c r="K1353" s="133" t="n">
        <x:v>50.588789448893074</x:v>
      </x:c>
      <x:c r="L1353" s="133" t="n">
        <x:v>50.59726962457338</x:v>
      </x:c>
      <x:c r="M1353" s="133" t="n">
        <x:v>50.6155950752394</x:v>
      </x:c>
      <x:c r="N1353" s="133" t="n">
        <x:v>50</x:v>
      </x:c>
      <x:c r="O1353" s="133" t="n">
        <x:v>50</x:v>
      </x:c>
      <x:c r="P1353" s="132"/>
    </x:row>
    <x:row r="1354">
      <x:c r="A1354" s="136" t="str">
        <x:v>01115040104</x:v>
      </x:c>
      <x:c r="B1354" s="132" t="str">
        <x:v>St. Clair County</x:v>
      </x:c>
      <x:c r="C1354" s="132" t="n">
        <x:v>1</x:v>
      </x:c>
      <x:c r="D1354" s="134" t="n">
        <x:v>5400</x:v>
      </x:c>
      <x:c r="E1354" s="133" t="n">
        <x:v>2</x:v>
      </x:c>
      <x:c r="F1354" s="134" t="n">
        <x:v>4917</x:v>
      </x:c>
      <x:c r="G1354" s="134" t="n">
        <x:v>0</x:v>
      </x:c>
      <x:c r="H1354" s="134" t="n">
        <x:v>2363</x:v>
      </x:c>
      <x:c r="I1354" s="134" t="n">
        <x:v>2151</x:v>
      </x:c>
      <x:c r="J1354" s="133" t="n">
        <x:v>43.75925925925926</x:v>
      </x:c>
      <x:c r="K1354" s="133" t="n">
        <x:v>43.74618669920683</x:v>
      </x:c>
      <x:c r="L1354" s="133" t="n">
        <x:v>43.75</x:v>
      </x:c>
      <x:c r="M1354" s="133" t="n">
        <x:v>43.743937924345296</x:v>
      </x:c>
      <x:c r="N1354" s="133" t="n">
        <x:v>43.29896907216495</x:v>
      </x:c>
      <x:c r="O1354" s="133" t="n">
        <x:v>42.10526315789474</x:v>
      </x:c>
      <x:c r="P1354" s="132"/>
    </x:row>
    <x:row r="1355">
      <x:c r="A1355" s="136" t="str">
        <x:v>01003010707</x:v>
      </x:c>
      <x:c r="B1355" s="132" t="str">
        <x:v>Baldwin County</x:v>
      </x:c>
      <x:c r="C1355" s="132" t="n">
        <x:v>1</x:v>
      </x:c>
      <x:c r="D1355" s="134" t="n">
        <x:v>4994</x:v>
      </x:c>
      <x:c r="E1355" s="133" t="n">
        <x:v>5.2</x:v>
      </x:c>
      <x:c r="F1355" s="134" t="n">
        <x:v>5063</x:v>
      </x:c>
      <x:c r="G1355" s="134" t="n">
        <x:v>0</x:v>
      </x:c>
      <x:c r="H1355" s="134" t="n">
        <x:v>2131</x:v>
      </x:c>
      <x:c r="I1355" s="134" t="n">
        <x:v>2161</x:v>
      </x:c>
      <x:c r="J1355" s="133" t="n">
        <x:v>42.67120544653584</x:v>
      </x:c>
      <x:c r="K1355" s="133" t="n">
        <x:v>42.68220422674304</x:v>
      </x:c>
      <x:c r="L1355" s="133" t="n">
        <x:v>42.641843971631204</x:v>
      </x:c>
      <x:c r="M1355" s="133" t="n">
        <x:v>42.72121788772598</x:v>
      </x:c>
      <x:c r="N1355" s="133" t="n">
        <x:v>42.61363636363637</x:v>
      </x:c>
      <x:c r="O1355" s="133" t="n">
        <x:v>46.15384615384615</x:v>
      </x:c>
      <x:c r="P1355" s="132"/>
    </x:row>
    <x:row r="1356">
      <x:c r="A1356" s="136" t="str">
        <x:v>01089011023</x:v>
      </x:c>
      <x:c r="B1356" s="132" t="str">
        <x:v>Madison County</x:v>
      </x:c>
      <x:c r="C1356" s="132" t="n">
        <x:v>1</x:v>
      </x:c>
      <x:c r="D1356" s="134" t="n">
        <x:v>6113</x:v>
      </x:c>
      <x:c r="E1356" s="133" t="n">
        <x:v>3.7</x:v>
      </x:c>
      <x:c r="F1356" s="134" t="n">
        <x:v>6423</x:v>
      </x:c>
      <x:c r="G1356" s="134" t="n">
        <x:v>0</x:v>
      </x:c>
      <x:c r="H1356" s="134" t="n">
        <x:v>2072</x:v>
      </x:c>
      <x:c r="I1356" s="134" t="n">
        <x:v>2177</x:v>
      </x:c>
      <x:c r="J1356" s="133" t="n">
        <x:v>33.8949779159169</x:v>
      </x:c>
      <x:c r="K1356" s="133" t="n">
        <x:v>33.893819087653746</x:v>
      </x:c>
      <x:c r="L1356" s="133" t="n">
        <x:v>33.88429752066116</x:v>
      </x:c>
      <x:c r="M1356" s="133" t="n">
        <x:v>33.88822829964328</x:v>
      </x:c>
      <x:c r="N1356" s="133" t="n">
        <x:v>33.587786259541986</x:v>
      </x:c>
      <x:c r="O1356" s="133" t="n">
        <x:v>35.294117647058826</x:v>
      </x:c>
      <x:c r="P1356" s="132"/>
    </x:row>
    <x:row r="1357">
      <x:c r="A1357" s="136" t="str">
        <x:v>01081042008</x:v>
      </x:c>
      <x:c r="B1357" s="132" t="str">
        <x:v>Lee County</x:v>
      </x:c>
      <x:c r="C1357" s="132" t="n">
        <x:v>1</x:v>
      </x:c>
      <x:c r="D1357" s="134" t="n">
        <x:v>5961</x:v>
      </x:c>
      <x:c r="E1357" s="133" t="n">
        <x:v>8.8</x:v>
      </x:c>
      <x:c r="F1357" s="134" t="n">
        <x:v>3771</x:v>
      </x:c>
      <x:c r="G1357" s="134" t="n">
        <x:v>0</x:v>
      </x:c>
      <x:c r="H1357" s="134" t="n">
        <x:v>3486</x:v>
      </x:c>
      <x:c r="I1357" s="134" t="n">
        <x:v>2205</x:v>
      </x:c>
      <x:c r="J1357" s="133" t="n">
        <x:v>58.48012078510317</x:v>
      </x:c>
      <x:c r="K1357" s="133" t="n">
        <x:v>58.472553699284006</x:v>
      </x:c>
      <x:c r="L1357" s="133" t="n">
        <x:v>58.49162011173184</x:v>
      </x:c>
      <x:c r="M1357" s="133" t="n">
        <x:v>58.53658536585366</x:v>
      </x:c>
      <x:c r="N1357" s="133" t="n">
        <x:v>59.09090909090909</x:v>
      </x:c>
      <x:c r="O1357" s="133" t="n">
        <x:v>58.8235294117647</x:v>
      </x:c>
      <x:c r="P1357" s="132"/>
    </x:row>
    <x:row r="1358">
      <x:c r="A1358" s="136" t="str">
        <x:v>01125012305</x:v>
      </x:c>
      <x:c r="B1358" s="132" t="str">
        <x:v>Tuscaloosa County</x:v>
      </x:c>
      <x:c r="C1358" s="132" t="n">
        <x:v>1</x:v>
      </x:c>
      <x:c r="D1358" s="134" t="n">
        <x:v>4616</x:v>
      </x:c>
      <x:c r="E1358" s="133" t="n">
        <x:v>3.3</x:v>
      </x:c>
      <x:c r="F1358" s="134" t="n">
        <x:v>3766</x:v>
      </x:c>
      <x:c r="G1358" s="134" t="n">
        <x:v>0</x:v>
      </x:c>
      <x:c r="H1358" s="134" t="n">
        <x:v>2761</x:v>
      </x:c>
      <x:c r="I1358" s="134" t="n">
        <x:v>2253</x:v>
      </x:c>
      <x:c r="J1358" s="133" t="n">
        <x:v>59.81369150779896</x:v>
      </x:c>
      <x:c r="K1358" s="133" t="n">
        <x:v>59.82474774296335</x:v>
      </x:c>
      <x:c r="L1358" s="133" t="n">
        <x:v>59.78456014362657</x:v>
      </x:c>
      <x:c r="M1358" s="133" t="n">
        <x:v>59.88909426987061</x:v>
      </x:c>
      <x:c r="N1358" s="133" t="n">
        <x:v>57.89473684210526</x:v>
      </x:c>
      <x:c r="O1358" s="133" t="n">
        <x:v>59.602649006622514</x:v>
      </x:c>
      <x:c r="P1358" s="132"/>
    </x:row>
    <x:row r="1359">
      <x:c r="A1359" s="136" t="str">
        <x:v>01003011501</x:v>
      </x:c>
      <x:c r="B1359" s="132" t="str">
        <x:v>Baldwin County</x:v>
      </x:c>
      <x:c r="C1359" s="132" t="n">
        <x:v>1</x:v>
      </x:c>
      <x:c r="D1359" s="134" t="n">
        <x:v>7216</x:v>
      </x:c>
      <x:c r="E1359" s="133" t="n">
        <x:v>16</x:v>
      </x:c>
      <x:c r="F1359" s="134" t="n">
        <x:v>5062</x:v>
      </x:c>
      <x:c r="G1359" s="134" t="n">
        <x:v>0</x:v>
      </x:c>
      <x:c r="H1359" s="134" t="n">
        <x:v>3255</x:v>
      </x:c>
      <x:c r="I1359" s="134" t="n">
        <x:v>2283</x:v>
      </x:c>
      <x:c r="J1359" s="133" t="n">
        <x:v>45.10809312638581</x:v>
      </x:c>
      <x:c r="K1359" s="133" t="n">
        <x:v>45.10075069142631</x:v>
      </x:c>
      <x:c r="L1359" s="133" t="n">
        <x:v>45.111111111111114</x:v>
      </x:c>
      <x:c r="M1359" s="133" t="n">
        <x:v>45.10093549975382</x:v>
      </x:c>
      <x:c r="N1359" s="133" t="n">
        <x:v>45.138888888888886</x:v>
      </x:c>
      <x:c r="O1359" s="133" t="n">
        <x:v>44.96402877697842</x:v>
      </x:c>
      <x:c r="P1359" s="132"/>
    </x:row>
    <x:row r="1360">
      <x:c r="A1360" s="136" t="str">
        <x:v>01089010629</x:v>
      </x:c>
      <x:c r="B1360" s="132" t="str">
        <x:v>Madison County</x:v>
      </x:c>
      <x:c r="C1360" s="132" t="n">
        <x:v>1</x:v>
      </x:c>
      <x:c r="D1360" s="134" t="n">
        <x:v>5136</x:v>
      </x:c>
      <x:c r="E1360" s="133" t="n">
        <x:v>7.9</x:v>
      </x:c>
      <x:c r="F1360" s="134" t="n">
        <x:v>4694</x:v>
      </x:c>
      <x:c r="G1360" s="134" t="n">
        <x:v>0</x:v>
      </x:c>
      <x:c r="H1360" s="134" t="n">
        <x:v>2518</x:v>
      </x:c>
      <x:c r="I1360" s="134" t="n">
        <x:v>2301</x:v>
      </x:c>
      <x:c r="J1360" s="133" t="n">
        <x:v>49.02647975077882</x:v>
      </x:c>
      <x:c r="K1360" s="133" t="n">
        <x:v>49.02002556455049</x:v>
      </x:c>
      <x:c r="L1360" s="133" t="n">
        <x:v>48.991121872477805</x:v>
      </x:c>
      <x:c r="M1360" s="133" t="n">
        <x:v>49.04831625183016</x:v>
      </x:c>
      <x:c r="N1360" s="133" t="n">
        <x:v>48.83720930232558</x:v>
      </x:c>
      <x:c r="O1360" s="133" t="n">
        <x:v>50</x:v>
      </x:c>
      <x:c r="P1360" s="132"/>
    </x:row>
    <x:row r="1361">
      <x:c r="A1361" s="136" t="str">
        <x:v>01031011203</x:v>
      </x:c>
      <x:c r="B1361" s="132" t="str">
        <x:v>Coffee County</x:v>
      </x:c>
      <x:c r="C1361" s="132" t="n">
        <x:v>1</x:v>
      </x:c>
      <x:c r="D1361" s="134" t="n">
        <x:v>5259</x:v>
      </x:c>
      <x:c r="E1361" s="133" t="n">
        <x:v>6.4</x:v>
      </x:c>
      <x:c r="F1361" s="134" t="n">
        <x:v>4267</x:v>
      </x:c>
      <x:c r="G1361" s="134" t="n">
        <x:v>0</x:v>
      </x:c>
      <x:c r="H1361" s="134" t="n">
        <x:v>2854</x:v>
      </x:c>
      <x:c r="I1361" s="134" t="n">
        <x:v>2316</x:v>
      </x:c>
      <x:c r="J1361" s="133" t="n">
        <x:v>54.26887240920327</x:v>
      </x:c>
      <x:c r="K1361" s="133" t="n">
        <x:v>54.277009608624326</x:v>
      </x:c>
      <x:c r="L1361" s="133" t="n">
        <x:v>54.3002915451895</x:v>
      </x:c>
      <x:c r="M1361" s="133" t="n">
        <x:v>54.233654876741696</x:v>
      </x:c>
      <x:c r="N1361" s="133" t="n">
        <x:v>54.02298850574713</x:v>
      </x:c>
      <x:c r="O1361" s="133" t="n">
        <x:v>54.02298850574713</x:v>
      </x:c>
      <x:c r="P1361" s="132"/>
    </x:row>
    <x:row r="1362">
      <x:c r="A1362" s="136" t="str">
        <x:v>01101005412</x:v>
      </x:c>
      <x:c r="B1362" s="132" t="str">
        <x:v>Montgomery County</x:v>
      </x:c>
      <x:c r="C1362" s="132" t="n">
        <x:v>1</x:v>
      </x:c>
      <x:c r="D1362" s="134" t="n">
        <x:v>6381</x:v>
      </x:c>
      <x:c r="E1362" s="133" t="n">
        <x:v>8.1</x:v>
      </x:c>
      <x:c r="F1362" s="134" t="n">
        <x:v>5275</x:v>
      </x:c>
      <x:c r="G1362" s="134" t="n">
        <x:v>0</x:v>
      </x:c>
      <x:c r="H1362" s="134" t="n">
        <x:v>2822</x:v>
      </x:c>
      <x:c r="I1362" s="134" t="n">
        <x:v>2333</x:v>
      </x:c>
      <x:c r="J1362" s="133" t="n">
        <x:v>44.225043096693305</x:v>
      </x:c>
      <x:c r="K1362" s="133" t="n">
        <x:v>44.22748815165877</x:v>
      </x:c>
      <x:c r="L1362" s="133" t="n">
        <x:v>44.23251589464124</x:v>
      </x:c>
      <x:c r="M1362" s="133" t="n">
        <x:v>44.215755855216464</x:v>
      </x:c>
      <x:c r="N1362" s="133" t="n">
        <x:v>43.75</x:v>
      </x:c>
      <x:c r="O1362" s="133" t="n">
        <x:v>44.516129032258064</x:v>
      </x:c>
      <x:c r="P1362" s="132"/>
    </x:row>
    <x:row r="1363">
      <x:c r="A1363" s="136" t="str">
        <x:v>01089000901</x:v>
      </x:c>
      <x:c r="B1363" s="132" t="str">
        <x:v>Madison County</x:v>
      </x:c>
      <x:c r="C1363" s="132" t="n">
        <x:v>1</x:v>
      </x:c>
      <x:c r="D1363" s="134" t="n">
        <x:v>4522</x:v>
      </x:c>
      <x:c r="E1363" s="133" t="n">
        <x:v>15.9</x:v>
      </x:c>
      <x:c r="F1363" s="134" t="n">
        <x:v>3501</x:v>
      </x:c>
      <x:c r="G1363" s="134" t="n">
        <x:v>0</x:v>
      </x:c>
      <x:c r="H1363" s="134" t="n">
        <x:v>3071</x:v>
      </x:c>
      <x:c r="I1363" s="134" t="n">
        <x:v>2377</x:v>
      </x:c>
      <x:c r="J1363" s="133" t="n">
        <x:v>67.91242812914639</x:v>
      </x:c>
      <x:c r="K1363" s="133" t="n">
        <x:v>67.89488717509283</x:v>
      </x:c>
      <x:c r="L1363" s="133" t="n">
        <x:v>67.88432267884323</x:v>
      </x:c>
      <x:c r="M1363" s="133" t="n">
        <x:v>67.94453507340945</x:v>
      </x:c>
      <x:c r="N1363" s="133" t="n">
        <x:v>68.26923076923077</x:v>
      </x:c>
      <x:c r="O1363" s="133" t="n">
        <x:v>68.18181818181819</x:v>
      </x:c>
      <x:c r="P1363" s="132"/>
    </x:row>
    <x:row r="1364">
      <x:c r="A1364" s="136" t="str">
        <x:v>01073012004</x:v>
      </x:c>
      <x:c r="B1364" s="132" t="str">
        <x:v>Jefferson County</x:v>
      </x:c>
      <x:c r="C1364" s="132" t="n">
        <x:v>1</x:v>
      </x:c>
      <x:c r="D1364" s="134" t="n">
        <x:v>5670</x:v>
      </x:c>
      <x:c r="E1364" s="133" t="n">
        <x:v>12</x:v>
      </x:c>
      <x:c r="F1364" s="134" t="n">
        <x:v>4601</x:v>
      </x:c>
      <x:c r="G1364" s="134" t="n">
        <x:v>0</x:v>
      </x:c>
      <x:c r="H1364" s="134" t="n">
        <x:v>2939</x:v>
      </x:c>
      <x:c r="I1364" s="134" t="n">
        <x:v>2385</x:v>
      </x:c>
      <x:c r="J1364" s="133" t="n">
        <x:v>51.8342151675485</x:v>
      </x:c>
      <x:c r="K1364" s="133" t="n">
        <x:v>51.836557270158664</x:v>
      </x:c>
      <x:c r="L1364" s="133" t="n">
        <x:v>51.866883116883116</x:v>
      </x:c>
      <x:c r="M1364" s="133" t="n">
        <x:v>51.8210197710718</x:v>
      </x:c>
      <x:c r="N1364" s="133" t="n">
        <x:v>52.38095238095238</x:v>
      </x:c>
      <x:c r="O1364" s="133" t="n">
        <x:v>51.875</x:v>
      </x:c>
      <x:c r="P1364" s="132"/>
    </x:row>
    <x:row r="1365">
      <x:c r="A1365" s="136" t="str">
        <x:v>01089010612</x:v>
      </x:c>
      <x:c r="B1365" s="132" t="str">
        <x:v>Madison County</x:v>
      </x:c>
      <x:c r="C1365" s="132" t="n">
        <x:v>1</x:v>
      </x:c>
      <x:c r="D1365" s="134" t="n">
        <x:v>7139</x:v>
      </x:c>
      <x:c r="E1365" s="133" t="n">
        <x:v>5.8</x:v>
      </x:c>
      <x:c r="F1365" s="134" t="n">
        <x:v>6376</x:v>
      </x:c>
      <x:c r="G1365" s="134" t="n">
        <x:v>0</x:v>
      </x:c>
      <x:c r="H1365" s="134" t="n">
        <x:v>2754</x:v>
      </x:c>
      <x:c r="I1365" s="134" t="n">
        <x:v>2460</x:v>
      </x:c>
      <x:c r="J1365" s="133" t="n">
        <x:v>38.576831489004064</x:v>
      </x:c>
      <x:c r="K1365" s="133" t="n">
        <x:v>38.58218318695106</x:v>
      </x:c>
      <x:c r="L1365" s="133" t="n">
        <x:v>38.569424964936886</x:v>
      </x:c>
      <x:c r="M1365" s="133" t="n">
        <x:v>38.58466722830666</x:v>
      </x:c>
      <x:c r="N1365" s="133" t="n">
        <x:v>38.64734299516908</x:v>
      </x:c>
      <x:c r="O1365" s="133" t="n">
        <x:v>38.613861386138616</x:v>
      </x:c>
      <x:c r="P1365" s="132"/>
    </x:row>
    <x:row r="1366">
      <x:c r="A1366" s="136" t="str">
        <x:v>01073014205</x:v>
      </x:c>
      <x:c r="B1366" s="132" t="str">
        <x:v>Jefferson County</x:v>
      </x:c>
      <x:c r="C1366" s="132" t="n">
        <x:v>1</x:v>
      </x:c>
      <x:c r="D1366" s="134" t="n">
        <x:v>3213</x:v>
      </x:c>
      <x:c r="E1366" s="133" t="n">
        <x:v>3.9</x:v>
      </x:c>
      <x:c r="F1366" s="134" t="n">
        <x:v>2712</x:v>
      </x:c>
      <x:c r="G1366" s="134" t="n">
        <x:v>0</x:v>
      </x:c>
      <x:c r="H1366" s="134" t="n">
        <x:v>2963</x:v>
      </x:c>
      <x:c r="I1366" s="134" t="n">
        <x:v>2501</x:v>
      </x:c>
      <x:c r="J1366" s="133" t="n">
        <x:v>92.2191098661687</x:v>
      </x:c>
      <x:c r="K1366" s="133" t="n">
        <x:v>92.21976401179941</x:v>
      </x:c>
      <x:c r="L1366" s="133" t="n">
        <x:v>92.25700164744646</x:v>
      </x:c>
      <x:c r="M1366" s="133" t="n">
        <x:v>92.17877094972067</x:v>
      </x:c>
      <x:c r="N1366" s="133"/>
      <x:c r="O1366" s="133" t="n">
        <x:v>93.75</x:v>
      </x:c>
      <x:c r="P1366" s="132"/>
    </x:row>
    <x:row r="1367">
      <x:c r="A1367" s="136" t="str">
        <x:v>01089010802</x:v>
      </x:c>
      <x:c r="B1367" s="132" t="str">
        <x:v>Madison County</x:v>
      </x:c>
      <x:c r="C1367" s="132" t="n">
        <x:v>1</x:v>
      </x:c>
      <x:c r="D1367" s="134" t="n">
        <x:v>5526</x:v>
      </x:c>
      <x:c r="E1367" s="133" t="n">
        <x:v>3.8</x:v>
      </x:c>
      <x:c r="F1367" s="134" t="n">
        <x:v>3940</x:v>
      </x:c>
      <x:c r="G1367" s="134" t="n">
        <x:v>0</x:v>
      </x:c>
      <x:c r="H1367" s="134" t="n">
        <x:v>3553</x:v>
      </x:c>
      <x:c r="I1367" s="134" t="n">
        <x:v>2533</x:v>
      </x:c>
      <x:c r="J1367" s="133" t="n">
        <x:v>64.2960550126674</x:v>
      </x:c>
      <x:c r="K1367" s="133" t="n">
        <x:v>64.28934010152284</x:v>
      </x:c>
      <x:c r="L1367" s="133" t="n">
        <x:v>64.332784184514</x:v>
      </x:c>
      <x:c r="M1367" s="133" t="n">
        <x:v>64.32491767288694</x:v>
      </x:c>
      <x:c r="N1367" s="133" t="n">
        <x:v>65.51724137931035</x:v>
      </x:c>
      <x:c r="O1367" s="133" t="n">
        <x:v>64.53900709219859</x:v>
      </x:c>
      <x:c r="P1367" s="132"/>
    </x:row>
    <x:row r="1368">
      <x:c r="A1368" s="136" t="str">
        <x:v>01089001901</x:v>
      </x:c>
      <x:c r="B1368" s="132" t="str">
        <x:v>Madison County</x:v>
      </x:c>
      <x:c r="C1368" s="132" t="n">
        <x:v>1</x:v>
      </x:c>
      <x:c r="D1368" s="134" t="n">
        <x:v>3489</x:v>
      </x:c>
      <x:c r="E1368" s="133" t="n">
        <x:v>2</x:v>
      </x:c>
      <x:c r="F1368" s="134" t="n">
        <x:v>3318</x:v>
      </x:c>
      <x:c r="G1368" s="134" t="n">
        <x:v>0</x:v>
      </x:c>
      <x:c r="H1368" s="134" t="n">
        <x:v>2683</x:v>
      </x:c>
      <x:c r="I1368" s="134" t="n">
        <x:v>2551</x:v>
      </x:c>
      <x:c r="J1368" s="133" t="n">
        <x:v>76.89882487818859</x:v>
      </x:c>
      <x:c r="K1368" s="133" t="n">
        <x:v>76.8836648583484</x:v>
      </x:c>
      <x:c r="L1368" s="133" t="n">
        <x:v>76.84210526315789</x:v>
      </x:c>
      <x:c r="M1368" s="133" t="n">
        <x:v>76.8990634755463</x:v>
      </x:c>
      <x:c r="N1368" s="133"/>
      <x:c r="O1368" s="133" t="n">
        <x:v>80</x:v>
      </x:c>
      <x:c r="P1368" s="132"/>
    </x:row>
    <x:row r="1369">
      <x:c r="A1369" s="136" t="str">
        <x:v>01125010405</x:v>
      </x:c>
      <x:c r="B1369" s="132" t="str">
        <x:v>Tuscaloosa County</x:v>
      </x:c>
      <x:c r="C1369" s="132" t="n">
        <x:v>1</x:v>
      </x:c>
      <x:c r="D1369" s="134" t="n">
        <x:v>4677</x:v>
      </x:c>
      <x:c r="E1369" s="133" t="n">
        <x:v>5.5</x:v>
      </x:c>
      <x:c r="F1369" s="134" t="n">
        <x:v>4718</x:v>
      </x:c>
      <x:c r="G1369" s="134" t="n">
        <x:v>0</x:v>
      </x:c>
      <x:c r="H1369" s="134" t="n">
        <x:v>2531</x:v>
      </x:c>
      <x:c r="I1369" s="134" t="n">
        <x:v>2554</x:v>
      </x:c>
      <x:c r="J1369" s="133" t="n">
        <x:v>54.115886251870855</x:v>
      </x:c>
      <x:c r="K1369" s="133" t="n">
        <x:v>54.13310724883425</x:v>
      </x:c>
      <x:c r="L1369" s="133" t="n">
        <x:v>54.15108451757666</x:v>
      </x:c>
      <x:c r="M1369" s="133" t="n">
        <x:v>54.06301824212272</x:v>
      </x:c>
      <x:c r="N1369" s="133" t="n">
        <x:v>55</x:v>
      </x:c>
      <x:c r="O1369" s="133" t="n">
        <x:v>55.26315789473684</x:v>
      </x:c>
      <x:c r="P1369" s="132"/>
    </x:row>
    <x:row r="1370">
      <x:c r="A1370" s="136" t="str">
        <x:v>01125010201</x:v>
      </x:c>
      <x:c r="B1370" s="132" t="str">
        <x:v>Tuscaloosa County</x:v>
      </x:c>
      <x:c r="C1370" s="132" t="n">
        <x:v>1</x:v>
      </x:c>
      <x:c r="D1370" s="134" t="n">
        <x:v>5227</x:v>
      </x:c>
      <x:c r="E1370" s="133" t="n">
        <x:v>0</x:v>
      </x:c>
      <x:c r="F1370" s="134" t="n">
        <x:v>4033</x:v>
      </x:c>
      <x:c r="G1370" s="134" t="n">
        <x:v>0</x:v>
      </x:c>
      <x:c r="H1370" s="134" t="n">
        <x:v>3311</x:v>
      </x:c>
      <x:c r="I1370" s="134" t="n">
        <x:v>2555</x:v>
      </x:c>
      <x:c r="J1370" s="133" t="n">
        <x:v>63.34417447866845</x:v>
      </x:c>
      <x:c r="K1370" s="133" t="n">
        <x:v>63.35234316885693</x:v>
      </x:c>
      <x:c r="L1370" s="133" t="n">
        <x:v>63.311258278145694</x:v>
      </x:c>
      <x:c r="M1370" s="133" t="n">
        <x:v>63.349917081260365</x:v>
      </x:c>
      <x:c r="N1370" s="133" t="n">
        <x:v>60</x:v>
      </x:c>
      <x:c r="O1370" s="133" t="n">
        <x:v>61.904761904761905</x:v>
      </x:c>
      <x:c r="P1370" s="132"/>
    </x:row>
    <x:row r="1371">
      <x:c r="A1371" s="136" t="str">
        <x:v>01055010402</x:v>
      </x:c>
      <x:c r="B1371" s="132" t="str">
        <x:v>Etowah County</x:v>
      </x:c>
      <x:c r="C1371" s="132" t="n">
        <x:v>1</x:v>
      </x:c>
      <x:c r="D1371" s="134" t="n">
        <x:v>6148</x:v>
      </x:c>
      <x:c r="E1371" s="133" t="n">
        <x:v>7.3</x:v>
      </x:c>
      <x:c r="F1371" s="134" t="n">
        <x:v>3670</x:v>
      </x:c>
      <x:c r="G1371" s="134" t="n">
        <x:v>0</x:v>
      </x:c>
      <x:c r="H1371" s="134" t="n">
        <x:v>4299</x:v>
      </x:c>
      <x:c r="I1371" s="134" t="n">
        <x:v>2566</x:v>
      </x:c>
      <x:c r="J1371" s="133" t="n">
        <x:v>69.92517891997397</x:v>
      </x:c>
      <x:c r="K1371" s="133" t="n">
        <x:v>69.9182561307902</x:v>
      </x:c>
      <x:c r="L1371" s="133" t="n">
        <x:v>69.93006993006993</x:v>
      </x:c>
      <x:c r="M1371" s="133" t="n">
        <x:v>69.9410609037328</x:v>
      </x:c>
      <x:c r="N1371" s="133" t="n">
        <x:v>66.66666666666667</x:v>
      </x:c>
      <x:c r="O1371" s="133" t="n">
        <x:v>69.79166666666667</x:v>
      </x:c>
      <x:c r="P1371" s="132"/>
    </x:row>
    <x:row r="1372">
      <x:c r="A1372" s="136" t="str">
        <x:v>01081040502</x:v>
      </x:c>
      <x:c r="B1372" s="132" t="str">
        <x:v>Lee County</x:v>
      </x:c>
      <x:c r="C1372" s="132" t="n">
        <x:v>1</x:v>
      </x:c>
      <x:c r="D1372" s="134" t="n">
        <x:v>4536</x:v>
      </x:c>
      <x:c r="E1372" s="133" t="n">
        <x:v>11.9</x:v>
      </x:c>
      <x:c r="F1372" s="134" t="n">
        <x:v>4048</x:v>
      </x:c>
      <x:c r="G1372" s="134" t="n">
        <x:v>0</x:v>
      </x:c>
      <x:c r="H1372" s="134" t="n">
        <x:v>2951</x:v>
      </x:c>
      <x:c r="I1372" s="134" t="n">
        <x:v>2634</x:v>
      </x:c>
      <x:c r="J1372" s="133" t="n">
        <x:v>65.05731922398589</x:v>
      </x:c>
      <x:c r="K1372" s="133" t="n">
        <x:v>65.06916996047431</x:v>
      </x:c>
      <x:c r="L1372" s="133" t="n">
        <x:v>65.0759219088937</x:v>
      </x:c>
      <x:c r="M1372" s="133" t="n">
        <x:v>65.07936507936508</x:v>
      </x:c>
      <x:c r="N1372" s="133" t="n">
        <x:v>65.51724137931035</x:v>
      </x:c>
      <x:c r="O1372" s="133" t="n">
        <x:v>65.1685393258427</x:v>
      </x:c>
      <x:c r="P1372" s="132"/>
    </x:row>
    <x:row r="1373">
      <x:c r="A1373" s="136" t="str">
        <x:v>01089011026</x:v>
      </x:c>
      <x:c r="B1373" s="132" t="str">
        <x:v>Madison County</x:v>
      </x:c>
      <x:c r="C1373" s="132" t="n">
        <x:v>1</x:v>
      </x:c>
      <x:c r="D1373" s="134" t="n">
        <x:v>3835</x:v>
      </x:c>
      <x:c r="E1373" s="133" t="n">
        <x:v>1.7</x:v>
      </x:c>
      <x:c r="F1373" s="134" t="n">
        <x:v>3757</x:v>
      </x:c>
      <x:c r="G1373" s="134" t="n">
        <x:v>0</x:v>
      </x:c>
      <x:c r="H1373" s="134" t="n">
        <x:v>2709</x:v>
      </x:c>
      <x:c r="I1373" s="134" t="n">
        <x:v>2653</x:v>
      </x:c>
      <x:c r="J1373" s="133" t="n">
        <x:v>70.63885267275097</x:v>
      </x:c>
      <x:c r="K1373" s="133" t="n">
        <x:v>70.61485227575193</x:v>
      </x:c>
      <x:c r="L1373" s="133" t="n">
        <x:v>70.6140350877193</x:v>
      </x:c>
      <x:c r="M1373" s="133" t="n">
        <x:v>70.70217917675545</x:v>
      </x:c>
      <x:c r="N1373" s="133" t="n">
        <x:v>73.33333333333333</x:v>
      </x:c>
      <x:c r="O1373" s="133" t="n">
        <x:v>69.23076923076923</x:v>
      </x:c>
      <x:c r="P1373" s="132"/>
    </x:row>
    <x:row r="1374">
      <x:c r="A1374" s="136" t="str">
        <x:v>01103005101</x:v>
      </x:c>
      <x:c r="B1374" s="132" t="str">
        <x:v>Morgan County</x:v>
      </x:c>
      <x:c r="C1374" s="132" t="n">
        <x:v>1</x:v>
      </x:c>
      <x:c r="D1374" s="134" t="n">
        <x:v>5146</x:v>
      </x:c>
      <x:c r="E1374" s="133" t="n">
        <x:v>4.2</x:v>
      </x:c>
      <x:c r="F1374" s="134" t="n">
        <x:v>4163</x:v>
      </x:c>
      <x:c r="G1374" s="134" t="n">
        <x:v>0</x:v>
      </x:c>
      <x:c r="H1374" s="134" t="n">
        <x:v>3289</x:v>
      </x:c>
      <x:c r="I1374" s="134" t="n">
        <x:v>2661</x:v>
      </x:c>
      <x:c r="J1374" s="133" t="n">
        <x:v>63.91371939370385</x:v>
      </x:c>
      <x:c r="K1374" s="133" t="n">
        <x:v>63.92024981984146</x:v>
      </x:c>
      <x:c r="L1374" s="133" t="n">
        <x:v>63.905841325196164</x:v>
      </x:c>
      <x:c r="M1374" s="133" t="n">
        <x:v>63.90243902439025</x:v>
      </x:c>
      <x:c r="N1374" s="133" t="n">
        <x:v>75</x:v>
      </x:c>
      <x:c r="O1374" s="133" t="n">
        <x:v>64.81481481481481</x:v>
      </x:c>
      <x:c r="P1374" s="132"/>
    </x:row>
    <x:row r="1375">
      <x:c r="A1375" s="136" t="str">
        <x:v>01003010710</x:v>
      </x:c>
      <x:c r="B1375" s="132" t="str">
        <x:v>Baldwin County</x:v>
      </x:c>
      <x:c r="C1375" s="132" t="n">
        <x:v>1</x:v>
      </x:c>
      <x:c r="D1375" s="134" t="n">
        <x:v>6156</x:v>
      </x:c>
      <x:c r="E1375" s="133" t="n">
        <x:v>10.4</x:v>
      </x:c>
      <x:c r="F1375" s="134" t="n">
        <x:v>4654</x:v>
      </x:c>
      <x:c r="G1375" s="134" t="n">
        <x:v>0</x:v>
      </x:c>
      <x:c r="H1375" s="134" t="n">
        <x:v>3560</x:v>
      </x:c>
      <x:c r="I1375" s="134" t="n">
        <x:v>2691</x:v>
      </x:c>
      <x:c r="J1375" s="133" t="n">
        <x:v>57.82975958414555</x:v>
      </x:c>
      <x:c r="K1375" s="133" t="n">
        <x:v>57.82122905027933</x:v>
      </x:c>
      <x:c r="L1375" s="133" t="n">
        <x:v>57.824561403508774</x:v>
      </x:c>
      <x:c r="M1375" s="133" t="n">
        <x:v>57.790927021696255</x:v>
      </x:c>
      <x:c r="N1375" s="133"/>
      <x:c r="O1375" s="133" t="n">
        <x:v>57.142857142857146</x:v>
      </x:c>
      <x:c r="P1375" s="132"/>
    </x:row>
    <x:row r="1376">
      <x:c r="A1376" s="136" t="str">
        <x:v>01117030221</x:v>
      </x:c>
      <x:c r="B1376" s="132" t="str">
        <x:v>Shelby County</x:v>
      </x:c>
      <x:c r="C1376" s="132" t="n">
        <x:v>1</x:v>
      </x:c>
      <x:c r="D1376" s="134" t="n">
        <x:v>5378</x:v>
      </x:c>
      <x:c r="E1376" s="133" t="n">
        <x:v>3.5</x:v>
      </x:c>
      <x:c r="F1376" s="134" t="n">
        <x:v>4783</x:v>
      </x:c>
      <x:c r="G1376" s="134" t="n">
        <x:v>0</x:v>
      </x:c>
      <x:c r="H1376" s="134" t="n">
        <x:v>3043</x:v>
      </x:c>
      <x:c r="I1376" s="134" t="n">
        <x:v>2706</x:v>
      </x:c>
      <x:c r="J1376" s="133" t="n">
        <x:v>56.5823726292302</x:v>
      </x:c>
      <x:c r="K1376" s="133" t="n">
        <x:v>56.57537110600042</x:v>
      </x:c>
      <x:c r="L1376" s="133" t="n">
        <x:v>56.54545454545455</x:v>
      </x:c>
      <x:c r="M1376" s="133" t="n">
        <x:v>56.639566395663955</x:v>
      </x:c>
      <x:c r="N1376" s="133" t="n">
        <x:v>58.8235294117647</x:v>
      </x:c>
      <x:c r="O1376" s="133" t="n">
        <x:v>57.142857142857146</x:v>
      </x:c>
      <x:c r="P1376" s="132"/>
    </x:row>
    <x:row r="1377">
      <x:c r="A1377" s="136" t="str">
        <x:v>01003011414</x:v>
      </x:c>
      <x:c r="B1377" s="132" t="str">
        <x:v>Baldwin County</x:v>
      </x:c>
      <x:c r="C1377" s="132" t="n">
        <x:v>1</x:v>
      </x:c>
      <x:c r="D1377" s="134" t="n">
        <x:v>3461</x:v>
      </x:c>
      <x:c r="E1377" s="133" t="n">
        <x:v>2.2</x:v>
      </x:c>
      <x:c r="F1377" s="134" t="n">
        <x:v>3278</x:v>
      </x:c>
      <x:c r="G1377" s="134" t="n">
        <x:v>0</x:v>
      </x:c>
      <x:c r="H1377" s="134" t="n">
        <x:v>2876</x:v>
      </x:c>
      <x:c r="I1377" s="134" t="n">
        <x:v>2724</x:v>
      </x:c>
      <x:c r="J1377" s="133" t="n">
        <x:v>83.09737070210922</x:v>
      </x:c>
      <x:c r="K1377" s="133" t="n">
        <x:v>83.09945088468578</x:v>
      </x:c>
      <x:c r="L1377" s="133" t="n">
        <x:v>83.12387791741472</x:v>
      </x:c>
      <x:c r="M1377" s="133" t="n">
        <x:v>83.13513513513513</x:v>
      </x:c>
      <x:c r="N1377" s="133" t="n">
        <x:v>83.33333333333333</x:v>
      </x:c>
      <x:c r="O1377" s="133" t="n">
        <x:v>85</x:v>
      </x:c>
      <x:c r="P1377" s="132"/>
    </x:row>
    <x:row r="1378">
      <x:c r="A1378" s="136" t="str">
        <x:v>01097006412</x:v>
      </x:c>
      <x:c r="B1378" s="132" t="str">
        <x:v>Mobile County</x:v>
      </x:c>
      <x:c r="C1378" s="132" t="n">
        <x:v>1</x:v>
      </x:c>
      <x:c r="D1378" s="134" t="n">
        <x:v>4923</x:v>
      </x:c>
      <x:c r="E1378" s="133" t="n">
        <x:v>7.5</x:v>
      </x:c>
      <x:c r="F1378" s="134" t="n">
        <x:v>4562</x:v>
      </x:c>
      <x:c r="G1378" s="134" t="n">
        <x:v>0</x:v>
      </x:c>
      <x:c r="H1378" s="134" t="n">
        <x:v>2943</x:v>
      </x:c>
      <x:c r="I1378" s="134" t="n">
        <x:v>2727</x:v>
      </x:c>
      <x:c r="J1378" s="133" t="n">
        <x:v>59.78062157221206</x:v>
      </x:c>
      <x:c r="K1378" s="133" t="n">
        <x:v>59.776413853573</x:v>
      </x:c>
      <x:c r="L1378" s="133" t="n">
        <x:v>59.79228486646884</x:v>
      </x:c>
      <x:c r="M1378" s="133" t="n">
        <x:v>59.831932773109244</x:v>
      </x:c>
      <x:c r="N1378" s="133" t="n">
        <x:v>58.8235294117647</x:v>
      </x:c>
      <x:c r="O1378" s="133" t="n">
        <x:v>59.74842767295598</x:v>
      </x:c>
      <x:c r="P1378" s="132"/>
    </x:row>
    <x:row r="1379">
      <x:c r="A1379" s="136" t="str">
        <x:v>01003011104</x:v>
      </x:c>
      <x:c r="B1379" s="132" t="str">
        <x:v>Baldwin County</x:v>
      </x:c>
      <x:c r="C1379" s="132" t="n">
        <x:v>1</x:v>
      </x:c>
      <x:c r="D1379" s="134" t="n">
        <x:v>7875</x:v>
      </x:c>
      <x:c r="E1379" s="133" t="n">
        <x:v>10</x:v>
      </x:c>
      <x:c r="F1379" s="134" t="n">
        <x:v>6648</x:v>
      </x:c>
      <x:c r="G1379" s="134" t="n">
        <x:v>0</x:v>
      </x:c>
      <x:c r="H1379" s="134" t="n">
        <x:v>3342</x:v>
      </x:c>
      <x:c r="I1379" s="134" t="n">
        <x:v>2821</x:v>
      </x:c>
      <x:c r="J1379" s="133" t="n">
        <x:v>42.43809523809524</x:v>
      </x:c>
      <x:c r="K1379" s="133" t="n">
        <x:v>42.4338146811071</x:v>
      </x:c>
      <x:c r="L1379" s="133" t="n">
        <x:v>42.46495327102804</x:v>
      </x:c>
      <x:c r="M1379" s="133" t="n">
        <x:v>42.448405253283305</x:v>
      </x:c>
      <x:c r="N1379" s="133" t="n">
        <x:v>42.857142857142854</x:v>
      </x:c>
      <x:c r="O1379" s="133" t="n">
        <x:v>42.47787610619469</x:v>
      </x:c>
      <x:c r="P1379" s="132"/>
    </x:row>
    <x:row r="1380">
      <x:c r="A1380" s="136" t="str">
        <x:v>01003010704</x:v>
      </x:c>
      <x:c r="B1380" s="132" t="str">
        <x:v>Baldwin County</x:v>
      </x:c>
      <x:c r="C1380" s="132" t="n">
        <x:v>1</x:v>
      </x:c>
      <x:c r="D1380" s="134" t="n">
        <x:v>5307</x:v>
      </x:c>
      <x:c r="E1380" s="133" t="n">
        <x:v>7.4</x:v>
      </x:c>
      <x:c r="F1380" s="134" t="n">
        <x:v>4076</x:v>
      </x:c>
      <x:c r="G1380" s="134" t="n">
        <x:v>0</x:v>
      </x:c>
      <x:c r="H1380" s="134" t="n">
        <x:v>3716</x:v>
      </x:c>
      <x:c r="I1380" s="134" t="n">
        <x:v>2854</x:v>
      </x:c>
      <x:c r="J1380" s="133" t="n">
        <x:v>70.02072734124741</x:v>
      </x:c>
      <x:c r="K1380" s="133" t="n">
        <x:v>70.01962708537782</x:v>
      </x:c>
      <x:c r="L1380" s="133" t="n">
        <x:v>70.01633986928104</x:v>
      </x:c>
      <x:c r="M1380" s="133" t="n">
        <x:v>70.05347593582887</x:v>
      </x:c>
      <x:c r="N1380" s="133" t="n">
        <x:v>70</x:v>
      </x:c>
      <x:c r="O1380" s="133"/>
      <x:c r="P1380" s="132"/>
    </x:row>
    <x:row r="1381">
      <x:c r="A1381" s="136" t="str">
        <x:v>01101005503</x:v>
      </x:c>
      <x:c r="B1381" s="132" t="str">
        <x:v>Montgomery County</x:v>
      </x:c>
      <x:c r="C1381" s="132" t="n">
        <x:v>1</x:v>
      </x:c>
      <x:c r="D1381" s="134" t="n">
        <x:v>6176</x:v>
      </x:c>
      <x:c r="E1381" s="133" t="n">
        <x:v>3.5</x:v>
      </x:c>
      <x:c r="F1381" s="134" t="n">
        <x:v>5906</x:v>
      </x:c>
      <x:c r="G1381" s="134" t="n">
        <x:v>0</x:v>
      </x:c>
      <x:c r="H1381" s="134" t="n">
        <x:v>2985</x:v>
      </x:c>
      <x:c r="I1381" s="134" t="n">
        <x:v>2854</x:v>
      </x:c>
      <x:c r="J1381" s="133" t="n">
        <x:v>48.33225388601036</x:v>
      </x:c>
      <x:c r="K1381" s="133" t="n">
        <x:v>48.323738570944805</x:v>
      </x:c>
      <x:c r="L1381" s="133" t="n">
        <x:v>48.33235810415447</x:v>
      </x:c>
      <x:c r="M1381" s="133" t="n">
        <x:v>48.2962962962963</x:v>
      </x:c>
      <x:c r="N1381" s="133" t="n">
        <x:v>46.666666666666664</x:v>
      </x:c>
      <x:c r="O1381" s="133" t="n">
        <x:v>47.22222222222222</x:v>
      </x:c>
      <x:c r="P1381" s="132"/>
    </x:row>
    <x:row r="1382">
      <x:c r="A1382" s="136" t="str">
        <x:v>01003011419</x:v>
      </x:c>
      <x:c r="B1382" s="132" t="str">
        <x:v>Baldwin County</x:v>
      </x:c>
      <x:c r="C1382" s="132" t="n">
        <x:v>1</x:v>
      </x:c>
      <x:c r="D1382" s="134" t="n">
        <x:v>5154</x:v>
      </x:c>
      <x:c r="E1382" s="133" t="n">
        <x:v>12.5</x:v>
      </x:c>
      <x:c r="F1382" s="134" t="n">
        <x:v>3954</x:v>
      </x:c>
      <x:c r="G1382" s="134" t="n">
        <x:v>0</x:v>
      </x:c>
      <x:c r="H1382" s="134" t="n">
        <x:v>3722</x:v>
      </x:c>
      <x:c r="I1382" s="134" t="n">
        <x:v>2856</x:v>
      </x:c>
      <x:c r="J1382" s="133" t="n">
        <x:v>72.21575475358945</x:v>
      </x:c>
      <x:c r="K1382" s="133" t="n">
        <x:v>72.23065250379362</x:v>
      </x:c>
      <x:c r="L1382" s="133" t="n">
        <x:v>72.21396731054978</x:v>
      </x:c>
      <x:c r="M1382" s="133" t="n">
        <x:v>72.2191477587161</x:v>
      </x:c>
      <x:c r="N1382" s="133" t="n">
        <x:v>72.1311475409836</x:v>
      </x:c>
      <x:c r="O1382" s="133" t="n">
        <x:v>72.22222222222223</x:v>
      </x:c>
      <x:c r="P1382" s="132"/>
    </x:row>
    <x:row r="1383">
      <x:c r="A1383" s="136" t="str">
        <x:v>01117030320</x:v>
      </x:c>
      <x:c r="B1383" s="132" t="str">
        <x:v>Shelby County</x:v>
      </x:c>
      <x:c r="C1383" s="132" t="n">
        <x:v>1</x:v>
      </x:c>
      <x:c r="D1383" s="134" t="n">
        <x:v>5500</x:v>
      </x:c>
      <x:c r="E1383" s="133" t="n">
        <x:v>2.6</x:v>
      </x:c>
      <x:c r="F1383" s="134" t="n">
        <x:v>4757</x:v>
      </x:c>
      <x:c r="G1383" s="134" t="n">
        <x:v>0</x:v>
      </x:c>
      <x:c r="H1383" s="134" t="n">
        <x:v>3325</x:v>
      </x:c>
      <x:c r="I1383" s="134" t="n">
        <x:v>2876</x:v>
      </x:c>
      <x:c r="J1383" s="133" t="n">
        <x:v>60.45454545454545</x:v>
      </x:c>
      <x:c r="K1383" s="133" t="n">
        <x:v>60.458272020180786</x:v>
      </x:c>
      <x:c r="L1383" s="133" t="n">
        <x:v>60.46353101567826</x:v>
      </x:c>
      <x:c r="M1383" s="133" t="n">
        <x:v>60.38863976083707</x:v>
      </x:c>
      <x:c r="N1383" s="133" t="n">
        <x:v>59.25925925925926</x:v>
      </x:c>
      <x:c r="O1383" s="133" t="n">
        <x:v>60.3448275862069</x:v>
      </x:c>
      <x:c r="P1383" s="132"/>
    </x:row>
    <x:row r="1384">
      <x:c r="A1384" s="136" t="str">
        <x:v>01031011204</x:v>
      </x:c>
      <x:c r="B1384" s="132" t="str">
        <x:v>Coffee County</x:v>
      </x:c>
      <x:c r="C1384" s="132" t="n">
        <x:v>1</x:v>
      </x:c>
      <x:c r="D1384" s="134" t="n">
        <x:v>4116</x:v>
      </x:c>
      <x:c r="E1384" s="133" t="n">
        <x:v>3.5</x:v>
      </x:c>
      <x:c r="F1384" s="134" t="n">
        <x:v>3570</x:v>
      </x:c>
      <x:c r="G1384" s="134" t="n">
        <x:v>0</x:v>
      </x:c>
      <x:c r="H1384" s="134" t="n">
        <x:v>3340</x:v>
      </x:c>
      <x:c r="I1384" s="134" t="n">
        <x:v>2897</x:v>
      </x:c>
      <x:c r="J1384" s="133" t="n">
        <x:v>81.14674441205054</x:v>
      </x:c>
      <x:c r="K1384" s="133" t="n">
        <x:v>81.1484593837535</x:v>
      </x:c>
      <x:c r="L1384" s="133" t="n">
        <x:v>81.15279048490393</x:v>
      </x:c>
      <x:c r="M1384" s="133" t="n">
        <x:v>81.18022328548645</x:v>
      </x:c>
      <x:c r="N1384" s="133" t="n">
        <x:v>83.33333333333333</x:v>
      </x:c>
      <x:c r="O1384" s="133" t="n">
        <x:v>81.81818181818181</x:v>
      </x:c>
      <x:c r="P1384" s="132"/>
    </x:row>
    <x:row r="1385">
      <x:c r="A1385" s="136" t="str">
        <x:v>01073014404</x:v>
      </x:c>
      <x:c r="B1385" s="132" t="str">
        <x:v>Jefferson County</x:v>
      </x:c>
      <x:c r="C1385" s="132" t="n">
        <x:v>1</x:v>
      </x:c>
      <x:c r="D1385" s="134" t="n">
        <x:v>5918</x:v>
      </x:c>
      <x:c r="E1385" s="133" t="n">
        <x:v>7.8</x:v>
      </x:c>
      <x:c r="F1385" s="134" t="n">
        <x:v>4506</x:v>
      </x:c>
      <x:c r="G1385" s="134" t="n">
        <x:v>0</x:v>
      </x:c>
      <x:c r="H1385" s="134" t="n">
        <x:v>3809</x:v>
      </x:c>
      <x:c r="I1385" s="134" t="n">
        <x:v>2900</x:v>
      </x:c>
      <x:c r="J1385" s="133" t="n">
        <x:v>64.36296045961474</x:v>
      </x:c>
      <x:c r="K1385" s="133" t="n">
        <x:v>64.35863293386596</x:v>
      </x:c>
      <x:c r="L1385" s="133" t="n">
        <x:v>64.3451930355791</x:v>
      </x:c>
      <x:c r="M1385" s="133" t="n">
        <x:v>64.35935198821797</x:v>
      </x:c>
      <x:c r="N1385" s="133" t="n">
        <x:v>63.46153846153846</x:v>
      </x:c>
      <x:c r="O1385" s="133" t="n">
        <x:v>64.1025641025641</x:v>
      </x:c>
      <x:c r="P1385" s="132"/>
    </x:row>
    <x:row r="1386">
      <x:c r="A1386" s="136" t="str">
        <x:v>01117030305</x:v>
      </x:c>
      <x:c r="B1386" s="132" t="str">
        <x:v>Shelby County</x:v>
      </x:c>
      <x:c r="C1386" s="132" t="n">
        <x:v>1</x:v>
      </x:c>
      <x:c r="D1386" s="134" t="n">
        <x:v>3935</x:v>
      </x:c>
      <x:c r="E1386" s="133" t="n">
        <x:v>0.6</x:v>
      </x:c>
      <x:c r="F1386" s="134" t="n">
        <x:v>3660</x:v>
      </x:c>
      <x:c r="G1386" s="134" t="n">
        <x:v>0</x:v>
      </x:c>
      <x:c r="H1386" s="134" t="n">
        <x:v>3139</x:v>
      </x:c>
      <x:c r="I1386" s="134" t="n">
        <x:v>2919</x:v>
      </x:c>
      <x:c r="J1386" s="133" t="n">
        <x:v>79.7712833545108</x:v>
      </x:c>
      <x:c r="K1386" s="133" t="n">
        <x:v>79.75409836065573</x:v>
      </x:c>
      <x:c r="L1386" s="133" t="n">
        <x:v>79.71163748712668</x:v>
      </x:c>
      <x:c r="M1386" s="133" t="n">
        <x:v>79.72636815920399</x:v>
      </x:c>
      <x:c r="N1386" s="133" t="n">
        <x:v>81.25</x:v>
      </x:c>
      <x:c r="O1386" s="133"/>
      <x:c r="P1386" s="132"/>
    </x:row>
    <x:row r="1387">
      <x:c r="A1387" s="136" t="str">
        <x:v>01003010706</x:v>
      </x:c>
      <x:c r="B1387" s="132" t="str">
        <x:v>Baldwin County</x:v>
      </x:c>
      <x:c r="C1387" s="132" t="n">
        <x:v>1</x:v>
      </x:c>
      <x:c r="D1387" s="134" t="n">
        <x:v>4038</x:v>
      </x:c>
      <x:c r="E1387" s="133" t="n">
        <x:v>2.5</x:v>
      </x:c>
      <x:c r="F1387" s="134" t="n">
        <x:v>3566</x:v>
      </x:c>
      <x:c r="G1387" s="134" t="n">
        <x:v>0</x:v>
      </x:c>
      <x:c r="H1387" s="134" t="n">
        <x:v>3336</x:v>
      </x:c>
      <x:c r="I1387" s="134" t="n">
        <x:v>2946</x:v>
      </x:c>
      <x:c r="J1387" s="133" t="n">
        <x:v>82.61515601783061</x:v>
      </x:c>
      <x:c r="K1387" s="133" t="n">
        <x:v>82.61357263039821</x:v>
      </x:c>
      <x:c r="L1387" s="133" t="n">
        <x:v>82.633371169126</x:v>
      </x:c>
      <x:c r="M1387" s="133" t="n">
        <x:v>82.61877172653534</x:v>
      </x:c>
      <x:c r="N1387" s="133" t="n">
        <x:v>80</x:v>
      </x:c>
      <x:c r="O1387" s="133"/>
      <x:c r="P1387" s="132"/>
    </x:row>
    <x:row r="1388">
      <x:c r="A1388" s="136" t="str">
        <x:v>01073014412</x:v>
      </x:c>
      <x:c r="B1388" s="132" t="str">
        <x:v>Jefferson County</x:v>
      </x:c>
      <x:c r="C1388" s="132" t="n">
        <x:v>1</x:v>
      </x:c>
      <x:c r="D1388" s="134" t="n">
        <x:v>4329</x:v>
      </x:c>
      <x:c r="E1388" s="133" t="n">
        <x:v>2.1</x:v>
      </x:c>
      <x:c r="F1388" s="134" t="n">
        <x:v>4496</x:v>
      </x:c>
      <x:c r="G1388" s="134" t="n">
        <x:v>0</x:v>
      </x:c>
      <x:c r="H1388" s="134" t="n">
        <x:v>2850</x:v>
      </x:c>
      <x:c r="I1388" s="134" t="n">
        <x:v>2960</x:v>
      </x:c>
      <x:c r="J1388" s="133" t="n">
        <x:v>65.83506583506583</x:v>
      </x:c>
      <x:c r="K1388" s="133" t="n">
        <x:v>65.83629893238434</x:v>
      </x:c>
      <x:c r="L1388" s="133" t="n">
        <x:v>65.8645276292335</x:v>
      </x:c>
      <x:c r="M1388" s="133" t="n">
        <x:v>65.82278481012658</x:v>
      </x:c>
      <x:c r="N1388" s="133" t="n">
        <x:v>65</x:v>
      </x:c>
      <x:c r="O1388" s="133" t="n">
        <x:v>62.5</x:v>
      </x:c>
      <x:c r="P1388" s="132"/>
    </x:row>
    <x:row r="1389">
      <x:c r="A1389" s="136" t="str">
        <x:v>01073014410</x:v>
      </x:c>
      <x:c r="B1389" s="132" t="str">
        <x:v>Jefferson County</x:v>
      </x:c>
      <x:c r="C1389" s="132" t="n">
        <x:v>1</x:v>
      </x:c>
      <x:c r="D1389" s="134" t="n">
        <x:v>5568</x:v>
      </x:c>
      <x:c r="E1389" s="133" t="n">
        <x:v>4.5</x:v>
      </x:c>
      <x:c r="F1389" s="134" t="n">
        <x:v>4833</x:v>
      </x:c>
      <x:c r="G1389" s="134" t="n">
        <x:v>0</x:v>
      </x:c>
      <x:c r="H1389" s="134" t="n">
        <x:v>3505</x:v>
      </x:c>
      <x:c r="I1389" s="134" t="n">
        <x:v>3042</x:v>
      </x:c>
      <x:c r="J1389" s="133" t="n">
        <x:v>62.94899425287356</x:v>
      </x:c>
      <x:c r="K1389" s="133" t="n">
        <x:v>62.94227188081937</x:v>
      </x:c>
      <x:c r="L1389" s="133" t="n">
        <x:v>62.96928327645051</x:v>
      </x:c>
      <x:c r="M1389" s="133" t="n">
        <x:v>62.91793313069909</x:v>
      </x:c>
      <x:c r="N1389" s="133" t="n">
        <x:v>62.5</x:v>
      </x:c>
      <x:c r="O1389" s="133" t="n">
        <x:v>62.903225806451616</x:v>
      </x:c>
      <x:c r="P1389" s="132"/>
    </x:row>
    <x:row r="1390">
      <x:c r="A1390" s="136" t="str">
        <x:v>01117030330</x:v>
      </x:c>
      <x:c r="B1390" s="132" t="str">
        <x:v>Shelby County</x:v>
      </x:c>
      <x:c r="C1390" s="132" t="n">
        <x:v>1</x:v>
      </x:c>
      <x:c r="D1390" s="134" t="n">
        <x:v>5557</x:v>
      </x:c>
      <x:c r="E1390" s="133" t="n">
        <x:v>5.1</x:v>
      </x:c>
      <x:c r="F1390" s="134" t="n">
        <x:v>4777</x:v>
      </x:c>
      <x:c r="G1390" s="134" t="n">
        <x:v>0</x:v>
      </x:c>
      <x:c r="H1390" s="134" t="n">
        <x:v>3559</x:v>
      </x:c>
      <x:c r="I1390" s="134" t="n">
        <x:v>3059</x:v>
      </x:c>
      <x:c r="J1390" s="133" t="n">
        <x:v>64.04534820946554</x:v>
      </x:c>
      <x:c r="K1390" s="133" t="n">
        <x:v>64.0360058614193</x:v>
      </x:c>
      <x:c r="L1390" s="133" t="n">
        <x:v>64.0560593569662</x:v>
      </x:c>
      <x:c r="M1390" s="133" t="n">
        <x:v>64.05484818805093</x:v>
      </x:c>
      <x:c r="N1390" s="133" t="n">
        <x:v>64</x:v>
      </x:c>
      <x:c r="O1390" s="133" t="n">
        <x:v>63.492063492063494</x:v>
      </x:c>
      <x:c r="P1390" s="132"/>
    </x:row>
    <x:row r="1391">
      <x:c r="A1391" s="136" t="str">
        <x:v>01073011109</x:v>
      </x:c>
      <x:c r="B1391" s="132" t="str">
        <x:v>Jefferson County</x:v>
      </x:c>
      <x:c r="C1391" s="132" t="n">
        <x:v>1</x:v>
      </x:c>
      <x:c r="D1391" s="134" t="n">
        <x:v>4273</x:v>
      </x:c>
      <x:c r="E1391" s="133" t="n">
        <x:v>1</x:v>
      </x:c>
      <x:c r="F1391" s="134" t="n">
        <x:v>4398</x:v>
      </x:c>
      <x:c r="G1391" s="134" t="n">
        <x:v>0</x:v>
      </x:c>
      <x:c r="H1391" s="134" t="n">
        <x:v>2979</x:v>
      </x:c>
      <x:c r="I1391" s="134" t="n">
        <x:v>3066</x:v>
      </x:c>
      <x:c r="J1391" s="133" t="n">
        <x:v>69.71682658553709</x:v>
      </x:c>
      <x:c r="K1391" s="133" t="n">
        <x:v>69.71350613915416</x:v>
      </x:c>
      <x:c r="L1391" s="133" t="n">
        <x:v>69.70317297850563</x:v>
      </x:c>
      <x:c r="M1391" s="133" t="n">
        <x:v>69.67471143756558</x:v>
      </x:c>
      <x:c r="N1391" s="133" t="n">
        <x:v>68.57142857142857</x:v>
      </x:c>
      <x:c r="O1391" s="133" t="n">
        <x:v>69.64285714285714</x:v>
      </x:c>
      <x:c r="P1391" s="132"/>
    </x:row>
    <x:row r="1392">
      <x:c r="A1392" s="136" t="str">
        <x:v>01125010802</x:v>
      </x:c>
      <x:c r="B1392" s="132" t="str">
        <x:v>Tuscaloosa County</x:v>
      </x:c>
      <x:c r="C1392" s="132" t="n">
        <x:v>1</x:v>
      </x:c>
      <x:c r="D1392" s="134" t="n">
        <x:v>4626</x:v>
      </x:c>
      <x:c r="E1392" s="133" t="n">
        <x:v>6.4</x:v>
      </x:c>
      <x:c r="F1392" s="134" t="n">
        <x:v>4167</x:v>
      </x:c>
      <x:c r="G1392" s="134" t="n">
        <x:v>0</x:v>
      </x:c>
      <x:c r="H1392" s="134" t="n">
        <x:v>3407</x:v>
      </x:c>
      <x:c r="I1392" s="134" t="n">
        <x:v>3069</x:v>
      </x:c>
      <x:c r="J1392" s="133" t="n">
        <x:v>73.64894076956334</x:v>
      </x:c>
      <x:c r="K1392" s="133" t="n">
        <x:v>73.65010799136068</x:v>
      </x:c>
      <x:c r="L1392" s="133" t="n">
        <x:v>73.58870967741936</x:v>
      </x:c>
      <x:c r="M1392" s="133" t="n">
        <x:v>73.58262967430639</x:v>
      </x:c>
      <x:c r="N1392" s="133" t="n">
        <x:v>74.46808510638297</x:v>
      </x:c>
      <x:c r="O1392" s="133" t="n">
        <x:v>73.62637362637362</x:v>
      </x:c>
      <x:c r="P1392" s="132"/>
    </x:row>
    <x:row r="1393">
      <x:c r="A1393" s="136" t="str">
        <x:v>01069040205</x:v>
      </x:c>
      <x:c r="B1393" s="132" t="str">
        <x:v>Houston County</x:v>
      </x:c>
      <x:c r="C1393" s="132" t="n">
        <x:v>1</x:v>
      </x:c>
      <x:c r="D1393" s="134" t="n">
        <x:v>5732</x:v>
      </x:c>
      <x:c r="E1393" s="133" t="n">
        <x:v>2.3</x:v>
      </x:c>
      <x:c r="F1393" s="134" t="n">
        <x:v>5053</x:v>
      </x:c>
      <x:c r="G1393" s="134" t="n">
        <x:v>0</x:v>
      </x:c>
      <x:c r="H1393" s="134" t="n">
        <x:v>3508</x:v>
      </x:c>
      <x:c r="I1393" s="134" t="n">
        <x:v>3093</x:v>
      </x:c>
      <x:c r="J1393" s="133" t="n">
        <x:v>61.20027913468248</x:v>
      </x:c>
      <x:c r="K1393" s="133" t="n">
        <x:v>61.211161686127056</x:v>
      </x:c>
      <x:c r="L1393" s="133" t="n">
        <x:v>61.201298701298704</x:v>
      </x:c>
      <x:c r="M1393" s="133" t="n">
        <x:v>61.19005328596803</x:v>
      </x:c>
      <x:c r="N1393" s="133" t="n">
        <x:v>60.99290780141844</x:v>
      </x:c>
      <x:c r="O1393" s="133" t="n">
        <x:v>59.09090909090909</x:v>
      </x:c>
      <x:c r="P1393" s="132"/>
    </x:row>
    <x:row r="1394">
      <x:c r="A1394" s="136" t="str">
        <x:v>01073011708</x:v>
      </x:c>
      <x:c r="B1394" s="132" t="str">
        <x:v>Jefferson County</x:v>
      </x:c>
      <x:c r="C1394" s="132" t="n">
        <x:v>1</x:v>
      </x:c>
      <x:c r="D1394" s="134" t="n">
        <x:v>6297</x:v>
      </x:c>
      <x:c r="E1394" s="133" t="n">
        <x:v>6.7</x:v>
      </x:c>
      <x:c r="F1394" s="134" t="n">
        <x:v>4287</x:v>
      </x:c>
      <x:c r="G1394" s="134" t="n">
        <x:v>0</x:v>
      </x:c>
      <x:c r="H1394" s="134" t="n">
        <x:v>4593</x:v>
      </x:c>
      <x:c r="I1394" s="134" t="n">
        <x:v>3127</x:v>
      </x:c>
      <x:c r="J1394" s="133" t="n">
        <x:v>72.93949499761791</x:v>
      </x:c>
      <x:c r="K1394" s="133" t="n">
        <x:v>72.94145089806392</x:v>
      </x:c>
      <x:c r="L1394" s="133" t="n">
        <x:v>72.92817679558011</x:v>
      </x:c>
      <x:c r="M1394" s="133" t="n">
        <x:v>72.94213528932356</x:v>
      </x:c>
      <x:c r="N1394" s="133" t="n">
        <x:v>72.5</x:v>
      </x:c>
      <x:c r="O1394" s="133" t="n">
        <x:v>72.94117647058823</x:v>
      </x:c>
      <x:c r="P1394" s="132"/>
    </x:row>
    <x:row r="1395">
      <x:c r="A1395" s="136" t="str">
        <x:v>01089002803</x:v>
      </x:c>
      <x:c r="B1395" s="132" t="str">
        <x:v>Madison County</x:v>
      </x:c>
      <x:c r="C1395" s="132" t="n">
        <x:v>1</x:v>
      </x:c>
      <x:c r="D1395" s="134" t="n">
        <x:v>5257</x:v>
      </x:c>
      <x:c r="E1395" s="133" t="n">
        <x:v>2.3</x:v>
      </x:c>
      <x:c r="F1395" s="134" t="n">
        <x:v>4199</x:v>
      </x:c>
      <x:c r="G1395" s="134" t="n">
        <x:v>0</x:v>
      </x:c>
      <x:c r="H1395" s="134" t="n">
        <x:v>4002</x:v>
      </x:c>
      <x:c r="I1395" s="134" t="n">
        <x:v>3197</x:v>
      </x:c>
      <x:c r="J1395" s="133" t="n">
        <x:v>76.1270686703443</x:v>
      </x:c>
      <x:c r="K1395" s="133" t="n">
        <x:v>76.13717551798047</x:v>
      </x:c>
      <x:c r="L1395" s="133" t="n">
        <x:v>76.14607614607614</x:v>
      </x:c>
      <x:c r="M1395" s="133" t="n">
        <x:v>76.0670731707317</x:v>
      </x:c>
      <x:c r="N1395" s="133" t="n">
        <x:v>73.6842105263158</x:v>
      </x:c>
      <x:c r="O1395" s="133" t="n">
        <x:v>75.75757575757575</x:v>
      </x:c>
      <x:c r="P1395" s="132"/>
    </x:row>
    <x:row r="1396">
      <x:c r="A1396" s="136" t="str">
        <x:v>01089011024</x:v>
      </x:c>
      <x:c r="B1396" s="132" t="str">
        <x:v>Madison County</x:v>
      </x:c>
      <x:c r="C1396" s="132" t="n">
        <x:v>1</x:v>
      </x:c>
      <x:c r="D1396" s="134" t="n">
        <x:v>4809</x:v>
      </x:c>
      <x:c r="E1396" s="133" t="n">
        <x:v>3.3</x:v>
      </x:c>
      <x:c r="F1396" s="134" t="n">
        <x:v>5384</x:v>
      </x:c>
      <x:c r="G1396" s="134" t="n">
        <x:v>0</x:v>
      </x:c>
      <x:c r="H1396" s="134" t="n">
        <x:v>2863</x:v>
      </x:c>
      <x:c r="I1396" s="134" t="n">
        <x:v>3205</x:v>
      </x:c>
      <x:c r="J1396" s="133" t="n">
        <x:v>59.53420669577875</x:v>
      </x:c>
      <x:c r="K1396" s="133" t="n">
        <x:v>59.528231797919766</x:v>
      </x:c>
      <x:c r="L1396" s="133" t="n">
        <x:v>59.51219512195122</x:v>
      </x:c>
      <x:c r="M1396" s="133" t="n">
        <x:v>59.43152454780362</x:v>
      </x:c>
      <x:c r="N1396" s="133"/>
      <x:c r="O1396" s="133" t="n">
        <x:v>57.142857142857146</x:v>
      </x:c>
      <x:c r="P1396" s="132"/>
    </x:row>
    <x:row r="1397">
      <x:c r="A1397" s="136" t="str">
        <x:v>01003010800</x:v>
      </x:c>
      <x:c r="B1397" s="132" t="str">
        <x:v>Baldwin County</x:v>
      </x:c>
      <x:c r="C1397" s="132" t="n">
        <x:v>1</x:v>
      </x:c>
      <x:c r="D1397" s="134" t="n">
        <x:v>7807</x:v>
      </x:c>
      <x:c r="E1397" s="133" t="n">
        <x:v>8.8</x:v>
      </x:c>
      <x:c r="F1397" s="134" t="n">
        <x:v>5555</x:v>
      </x:c>
      <x:c r="G1397" s="134" t="n">
        <x:v>0</x:v>
      </x:c>
      <x:c r="H1397" s="134" t="n">
        <x:v>4506</x:v>
      </x:c>
      <x:c r="I1397" s="134" t="n">
        <x:v>3206</x:v>
      </x:c>
      <x:c r="J1397" s="133" t="n">
        <x:v>57.71743307288331</x:v>
      </x:c>
      <x:c r="K1397" s="133" t="n">
        <x:v>57.71377137713771</x:v>
      </x:c>
      <x:c r="L1397" s="133" t="n">
        <x:v>57.72357723577236</x:v>
      </x:c>
      <x:c r="M1397" s="133" t="n">
        <x:v>57.70292655991165</x:v>
      </x:c>
      <x:c r="N1397" s="133" t="n">
        <x:v>59.25925925925926</x:v>
      </x:c>
      <x:c r="O1397" s="133" t="n">
        <x:v>57.720588235294116</x:v>
      </x:c>
      <x:c r="P1397" s="132"/>
    </x:row>
    <x:row r="1398">
      <x:c r="A1398" s="136" t="str">
        <x:v>01103005304</x:v>
      </x:c>
      <x:c r="B1398" s="132" t="str">
        <x:v>Morgan County</x:v>
      </x:c>
      <x:c r="C1398" s="132" t="n">
        <x:v>1</x:v>
      </x:c>
      <x:c r="D1398" s="134" t="n">
        <x:v>6079</x:v>
      </x:c>
      <x:c r="E1398" s="133" t="n">
        <x:v>4.3</x:v>
      </x:c>
      <x:c r="F1398" s="134" t="n">
        <x:v>4443</x:v>
      </x:c>
      <x:c r="G1398" s="134" t="n">
        <x:v>0</x:v>
      </x:c>
      <x:c r="H1398" s="134" t="n">
        <x:v>4449</x:v>
      </x:c>
      <x:c r="I1398" s="134" t="n">
        <x:v>3251</x:v>
      </x:c>
      <x:c r="J1398" s="133" t="n">
        <x:v>73.18637933870703</x:v>
      </x:c>
      <x:c r="K1398" s="133" t="n">
        <x:v>73.17128066621652</x:v>
      </x:c>
      <x:c r="L1398" s="133" t="n">
        <x:v>73.17397078353254</x:v>
      </x:c>
      <x:c r="M1398" s="133" t="n">
        <x:v>73.14906219151037</x:v>
      </x:c>
      <x:c r="N1398" s="133"/>
      <x:c r="O1398" s="133" t="n">
        <x:v>73.41772151898734</x:v>
      </x:c>
      <x:c r="P1398" s="132"/>
    </x:row>
    <x:row r="1399">
      <x:c r="A1399" s="136" t="str">
        <x:v>01073012911</x:v>
      </x:c>
      <x:c r="B1399" s="132" t="str">
        <x:v>Jefferson County</x:v>
      </x:c>
      <x:c r="C1399" s="132" t="n">
        <x:v>1</x:v>
      </x:c>
      <x:c r="D1399" s="134" t="n">
        <x:v>6757</x:v>
      </x:c>
      <x:c r="E1399" s="133" t="n">
        <x:v>3.9</x:v>
      </x:c>
      <x:c r="F1399" s="134" t="n">
        <x:v>4731</x:v>
      </x:c>
      <x:c r="G1399" s="134" t="n">
        <x:v>0</x:v>
      </x:c>
      <x:c r="H1399" s="134" t="n">
        <x:v>4701</x:v>
      </x:c>
      <x:c r="I1399" s="134" t="n">
        <x:v>3292</x:v>
      </x:c>
      <x:c r="J1399" s="133" t="n">
        <x:v>69.57229539736569</x:v>
      </x:c>
      <x:c r="K1399" s="133" t="n">
        <x:v>69.58359754808708</x:v>
      </x:c>
      <x:c r="L1399" s="133" t="n">
        <x:v>69.59098992294012</x:v>
      </x:c>
      <x:c r="M1399" s="133" t="n">
        <x:v>69.56521739130434</x:v>
      </x:c>
      <x:c r="N1399" s="133"/>
      <x:c r="O1399" s="133" t="n">
        <x:v>69.04761904761905</x:v>
      </x:c>
      <x:c r="P1399" s="132"/>
    </x:row>
    <x:row r="1400">
      <x:c r="A1400" s="136" t="str">
        <x:v>01103005404</x:v>
      </x:c>
      <x:c r="B1400" s="132" t="str">
        <x:v>Morgan County</x:v>
      </x:c>
      <x:c r="C1400" s="132" t="n">
        <x:v>1</x:v>
      </x:c>
      <x:c r="D1400" s="134" t="n">
        <x:v>6162</x:v>
      </x:c>
      <x:c r="E1400" s="133" t="n">
        <x:v>8.6</x:v>
      </x:c>
      <x:c r="F1400" s="134" t="n">
        <x:v>4704</x:v>
      </x:c>
      <x:c r="G1400" s="134" t="n">
        <x:v>0</x:v>
      </x:c>
      <x:c r="H1400" s="134" t="n">
        <x:v>4356</x:v>
      </x:c>
      <x:c r="I1400" s="134" t="n">
        <x:v>3325</x:v>
      </x:c>
      <x:c r="J1400" s="133" t="n">
        <x:v>70.69133398247322</x:v>
      </x:c>
      <x:c r="K1400" s="133" t="n">
        <x:v>70.68452380952381</x:v>
      </x:c>
      <x:c r="L1400" s="133" t="n">
        <x:v>70.70422535211267</x:v>
      </x:c>
      <x:c r="M1400" s="133" t="n">
        <x:v>70.6713780918728</x:v>
      </x:c>
      <x:c r="N1400" s="133" t="n">
        <x:v>71.15384615384616</x:v>
      </x:c>
      <x:c r="O1400" s="133" t="n">
        <x:v>72.41379310344827</x:v>
      </x:c>
      <x:c r="P1400" s="132"/>
    </x:row>
    <x:row r="1401">
      <x:c r="A1401" s="136" t="str">
        <x:v>01117030346</x:v>
      </x:c>
      <x:c r="B1401" s="132" t="str">
        <x:v>Shelby County</x:v>
      </x:c>
      <x:c r="C1401" s="132" t="n">
        <x:v>1</x:v>
      </x:c>
      <x:c r="D1401" s="134" t="n">
        <x:v>3847</x:v>
      </x:c>
      <x:c r="E1401" s="133" t="n">
        <x:v>2.5</x:v>
      </x:c>
      <x:c r="F1401" s="134" t="n">
        <x:v>3564</x:v>
      </x:c>
      <x:c r="G1401" s="134" t="n">
        <x:v>0</x:v>
      </x:c>
      <x:c r="H1401" s="134" t="n">
        <x:v>3604</x:v>
      </x:c>
      <x:c r="I1401" s="134" t="n">
        <x:v>3339</x:v>
      </x:c>
      <x:c r="J1401" s="133" t="n">
        <x:v>93.68338965427606</x:v>
      </x:c>
      <x:c r="K1401" s="133" t="n">
        <x:v>93.68686868686869</x:v>
      </x:c>
      <x:c r="L1401" s="133" t="n">
        <x:v>93.6742934051144</x:v>
      </x:c>
      <x:c r="M1401" s="133" t="n">
        <x:v>93.64613880742912</x:v>
      </x:c>
      <x:c r="N1401" s="133"/>
      <x:c r="O1401" s="133" t="n">
        <x:v>92.85714285714286</x:v>
      </x:c>
      <x:c r="P1401" s="132"/>
    </x:row>
    <x:row r="1402">
      <x:c r="A1402" s="136" t="str">
        <x:v>01073012907</x:v>
      </x:c>
      <x:c r="B1402" s="132" t="str">
        <x:v>Jefferson County</x:v>
      </x:c>
      <x:c r="C1402" s="132" t="n">
        <x:v>1</x:v>
      </x:c>
      <x:c r="D1402" s="134" t="n">
        <x:v>5151</x:v>
      </x:c>
      <x:c r="E1402" s="133" t="n">
        <x:v>6</x:v>
      </x:c>
      <x:c r="F1402" s="134" t="n">
        <x:v>3462</x:v>
      </x:c>
      <x:c r="G1402" s="134" t="n">
        <x:v>0</x:v>
      </x:c>
      <x:c r="H1402" s="134" t="n">
        <x:v>5042</x:v>
      </x:c>
      <x:c r="I1402" s="134" t="n">
        <x:v>3389</x:v>
      </x:c>
      <x:c r="J1402" s="133" t="n">
        <x:v>97.88390603766258</x:v>
      </x:c>
      <x:c r="K1402" s="133" t="n">
        <x:v>97.89139225880993</x:v>
      </x:c>
      <x:c r="L1402" s="133" t="n">
        <x:v>97.89069990412273</x:v>
      </x:c>
      <x:c r="M1402" s="133" t="n">
        <x:v>97.875</x:v>
      </x:c>
      <x:c r="N1402" s="133" t="n">
        <x:v>100</x:v>
      </x:c>
      <x:c r="O1402" s="133" t="n">
        <x:v>97.5</x:v>
      </x:c>
      <x:c r="P1402" s="132"/>
    </x:row>
    <x:row r="1403">
      <x:c r="A1403" s="136" t="str">
        <x:v>01089010801</x:v>
      </x:c>
      <x:c r="B1403" s="132" t="str">
        <x:v>Madison County</x:v>
      </x:c>
      <x:c r="C1403" s="132" t="n">
        <x:v>1</x:v>
      </x:c>
      <x:c r="D1403" s="134" t="n">
        <x:v>5691</x:v>
      </x:c>
      <x:c r="E1403" s="133" t="n">
        <x:v>7.8</x:v>
      </x:c>
      <x:c r="F1403" s="134" t="n">
        <x:v>5471</x:v>
      </x:c>
      <x:c r="G1403" s="134" t="n">
        <x:v>0</x:v>
      </x:c>
      <x:c r="H1403" s="134" t="n">
        <x:v>3642</x:v>
      </x:c>
      <x:c r="I1403" s="134" t="n">
        <x:v>3501</x:v>
      </x:c>
      <x:c r="J1403" s="133" t="n">
        <x:v>63.99578281497101</x:v>
      </x:c>
      <x:c r="K1403" s="133" t="n">
        <x:v>63.99195759458966</x:v>
      </x:c>
      <x:c r="L1403" s="133" t="n">
        <x:v>63.984375</x:v>
      </x:c>
      <x:c r="M1403" s="133" t="n">
        <x:v>64.01816118047672</x:v>
      </x:c>
      <x:c r="N1403" s="133" t="n">
        <x:v>63.1578947368421</x:v>
      </x:c>
      <x:c r="O1403" s="133" t="n">
        <x:v>63.865546218487395</x:v>
      </x:c>
      <x:c r="P1403" s="132"/>
    </x:row>
    <x:row r="1404">
      <x:c r="A1404" s="136" t="str">
        <x:v>01081041200</x:v>
      </x:c>
      <x:c r="B1404" s="132" t="str">
        <x:v>Lee County</x:v>
      </x:c>
      <x:c r="C1404" s="132" t="n">
        <x:v>1</x:v>
      </x:c>
      <x:c r="D1404" s="134" t="n">
        <x:v>4986</x:v>
      </x:c>
      <x:c r="E1404" s="133" t="n">
        <x:v>5.6</x:v>
      </x:c>
      <x:c r="F1404" s="134" t="n">
        <x:v>5262</x:v>
      </x:c>
      <x:c r="G1404" s="134" t="n">
        <x:v>0</x:v>
      </x:c>
      <x:c r="H1404" s="134" t="n">
        <x:v>3453</x:v>
      </x:c>
      <x:c r="I1404" s="134" t="n">
        <x:v>3644</x:v>
      </x:c>
      <x:c r="J1404" s="133" t="n">
        <x:v>69.25391095066185</x:v>
      </x:c>
      <x:c r="K1404" s="133" t="n">
        <x:v>69.25123527175978</x:v>
      </x:c>
      <x:c r="L1404" s="133" t="n">
        <x:v>69.28166351606805</x:v>
      </x:c>
      <x:c r="M1404" s="133" t="n">
        <x:v>69.26032660902978</x:v>
      </x:c>
      <x:c r="N1404" s="133" t="n">
        <x:v>69.04761904761905</x:v>
      </x:c>
      <x:c r="O1404" s="133" t="n">
        <x:v>69.37269372693727</x:v>
      </x:c>
      <x:c r="P1404" s="132"/>
    </x:row>
    <x:row r="1405">
      <x:c r="A1405" s="136" t="str">
        <x:v>01081042002</x:v>
      </x:c>
      <x:c r="B1405" s="132" t="str">
        <x:v>Lee County</x:v>
      </x:c>
      <x:c r="C1405" s="132" t="n">
        <x:v>1</x:v>
      </x:c>
      <x:c r="D1405" s="134" t="n">
        <x:v>8883</x:v>
      </x:c>
      <x:c r="E1405" s="133" t="n">
        <x:v>14</x:v>
      </x:c>
      <x:c r="F1405" s="134" t="n">
        <x:v>6488</x:v>
      </x:c>
      <x:c r="G1405" s="134" t="n">
        <x:v>0</x:v>
      </x:c>
      <x:c r="H1405" s="134" t="n">
        <x:v>5010</x:v>
      </x:c>
      <x:c r="I1405" s="134" t="n">
        <x:v>3660</x:v>
      </x:c>
      <x:c r="J1405" s="133" t="n">
        <x:v>56.39986491050321</x:v>
      </x:c>
      <x:c r="K1405" s="133" t="n">
        <x:v>56.41183723797781</x:v>
      </x:c>
      <x:c r="L1405" s="133" t="n">
        <x:v>56.42821410705353</x:v>
      </x:c>
      <x:c r="M1405" s="133" t="n">
        <x:v>56.412213740458014</x:v>
      </x:c>
      <x:c r="N1405" s="133" t="n">
        <x:v>56.470588235294116</x:v>
      </x:c>
      <x:c r="O1405" s="133" t="n">
        <x:v>56.470588235294116</x:v>
      </x:c>
      <x:c r="P1405" s="132"/>
    </x:row>
    <x:row r="1406">
      <x:c r="A1406" s="136" t="str">
        <x:v>01121010101</x:v>
      </x:c>
      <x:c r="B1406" s="132" t="str">
        <x:v>Talladega County</x:v>
      </x:c>
      <x:c r="C1406" s="132" t="n">
        <x:v>1</x:v>
      </x:c>
      <x:c r="D1406" s="134" t="n">
        <x:v>5481</x:v>
      </x:c>
      <x:c r="E1406" s="133" t="n">
        <x:v>7.4</x:v>
      </x:c>
      <x:c r="F1406" s="134" t="n">
        <x:v>3910</x:v>
      </x:c>
      <x:c r="G1406" s="134" t="n">
        <x:v>0</x:v>
      </x:c>
      <x:c r="H1406" s="134" t="n">
        <x:v>5156</x:v>
      </x:c>
      <x:c r="I1406" s="134" t="n">
        <x:v>3678</x:v>
      </x:c>
      <x:c r="J1406" s="133" t="n">
        <x:v>94.07042510490787</x:v>
      </x:c>
      <x:c r="K1406" s="133" t="n">
        <x:v>94.06649616368287</x:v>
      </x:c>
      <x:c r="L1406" s="133" t="n">
        <x:v>94.06645569620254</x:v>
      </x:c>
      <x:c r="M1406" s="133" t="n">
        <x:v>94.03153153153153</x:v>
      </x:c>
      <x:c r="N1406" s="133" t="n">
        <x:v>94.11764705882354</x:v>
      </x:c>
      <x:c r="O1406" s="133" t="n">
        <x:v>94.11764705882354</x:v>
      </x:c>
      <x:c r="P1406" s="132"/>
    </x:row>
    <x:row r="1407">
      <x:c r="A1407" s="136" t="str">
        <x:v>01125010205</x:v>
      </x:c>
      <x:c r="B1407" s="132" t="str">
        <x:v>Tuscaloosa County</x:v>
      </x:c>
      <x:c r="C1407" s="132" t="n">
        <x:v>1</x:v>
      </x:c>
      <x:c r="D1407" s="134" t="n">
        <x:v>6938</x:v>
      </x:c>
      <x:c r="E1407" s="133" t="n">
        <x:v>4.3</x:v>
      </x:c>
      <x:c r="F1407" s="134" t="n">
        <x:v>6888</x:v>
      </x:c>
      <x:c r="G1407" s="134" t="n">
        <x:v>0</x:v>
      </x:c>
      <x:c r="H1407" s="134" t="n">
        <x:v>3764</x:v>
      </x:c>
      <x:c r="I1407" s="134" t="n">
        <x:v>3737</x:v>
      </x:c>
      <x:c r="J1407" s="133" t="n">
        <x:v>54.2519458057077</x:v>
      </x:c>
      <x:c r="K1407" s="133" t="n">
        <x:v>54.25377468060395</x:v>
      </x:c>
      <x:c r="L1407" s="133" t="n">
        <x:v>54.247003647733194</x:v>
      </x:c>
      <x:c r="M1407" s="133" t="n">
        <x:v>54.21245421245421</x:v>
      </x:c>
      <x:c r="N1407" s="133"/>
      <x:c r="O1407" s="133" t="n">
        <x:v>54.54545454545455</x:v>
      </x:c>
      <x:c r="P1407" s="132"/>
    </x:row>
    <x:row r="1408">
      <x:c r="A1408" s="136" t="str">
        <x:v>01117030331</x:v>
      </x:c>
      <x:c r="B1408" s="132" t="str">
        <x:v>Shelby County</x:v>
      </x:c>
      <x:c r="C1408" s="132" t="n">
        <x:v>1</x:v>
      </x:c>
      <x:c r="D1408" s="134" t="n">
        <x:v>4509</x:v>
      </x:c>
      <x:c r="E1408" s="133" t="n">
        <x:v>8.4</x:v>
      </x:c>
      <x:c r="F1408" s="134" t="n">
        <x:v>4000</x:v>
      </x:c>
      <x:c r="G1408" s="134" t="n">
        <x:v>0</x:v>
      </x:c>
      <x:c r="H1408" s="134" t="n">
        <x:v>4221</x:v>
      </x:c>
      <x:c r="I1408" s="134" t="n">
        <x:v>3745</x:v>
      </x:c>
      <x:c r="J1408" s="133" t="n">
        <x:v>93.6127744510978</x:v>
      </x:c>
      <x:c r="K1408" s="133" t="n">
        <x:v>93.625</x:v>
      </x:c>
      <x:c r="L1408" s="133" t="n">
        <x:v>93.63636363636364</x:v>
      </x:c>
      <x:c r="M1408" s="133" t="n">
        <x:v>93.58752166377816</x:v>
      </x:c>
      <x:c r="N1408" s="133" t="n">
        <x:v>93.75</x:v>
      </x:c>
      <x:c r="O1408" s="133" t="n">
        <x:v>93.75</x:v>
      </x:c>
      <x:c r="P1408" s="132"/>
    </x:row>
    <x:row r="1409">
      <x:c r="A1409" s="136" t="str">
        <x:v>01089010704</x:v>
      </x:c>
      <x:c r="B1409" s="132" t="str">
        <x:v>Madison County</x:v>
      </x:c>
      <x:c r="C1409" s="132" t="n">
        <x:v>1</x:v>
      </x:c>
      <x:c r="D1409" s="134" t="n">
        <x:v>6164</x:v>
      </x:c>
      <x:c r="E1409" s="133" t="n">
        <x:v>4.7</x:v>
      </x:c>
      <x:c r="F1409" s="134" t="n">
        <x:v>6081</x:v>
      </x:c>
      <x:c r="G1409" s="134" t="n">
        <x:v>0</x:v>
      </x:c>
      <x:c r="H1409" s="134" t="n">
        <x:v>3814</x:v>
      </x:c>
      <x:c r="I1409" s="134" t="n">
        <x:v>3763</x:v>
      </x:c>
      <x:c r="J1409" s="133" t="n">
        <x:v>61.87540558079169</x:v>
      </x:c>
      <x:c r="K1409" s="133" t="n">
        <x:v>61.88126952803815</x:v>
      </x:c>
      <x:c r="L1409" s="133" t="n">
        <x:v>61.85210780926054</x:v>
      </x:c>
      <x:c r="M1409" s="133" t="n">
        <x:v>61.84586108468125</x:v>
      </x:c>
      <x:c r="N1409" s="133" t="n">
        <x:v>60.714285714285715</x:v>
      </x:c>
      <x:c r="O1409" s="133" t="n">
        <x:v>61.40350877192982</x:v>
      </x:c>
      <x:c r="P1409" s="132"/>
    </x:row>
    <x:row r="1410">
      <x:c r="A1410" s="136" t="str">
        <x:v>01073011115</x:v>
      </x:c>
      <x:c r="B1410" s="132" t="str">
        <x:v>Jefferson County</x:v>
      </x:c>
      <x:c r="C1410" s="132" t="n">
        <x:v>1</x:v>
      </x:c>
      <x:c r="D1410" s="134" t="n">
        <x:v>5736</x:v>
      </x:c>
      <x:c r="E1410" s="133" t="n">
        <x:v>3.5</x:v>
      </x:c>
      <x:c r="F1410" s="134" t="n">
        <x:v>4191</x:v>
      </x:c>
      <x:c r="G1410" s="134" t="n">
        <x:v>0</x:v>
      </x:c>
      <x:c r="H1410" s="134" t="n">
        <x:v>5154</x:v>
      </x:c>
      <x:c r="I1410" s="134" t="n">
        <x:v>3766</x:v>
      </x:c>
      <x:c r="J1410" s="133" t="n">
        <x:v>89.85355648535565</x:v>
      </x:c>
      <x:c r="K1410" s="133" t="n">
        <x:v>89.8592221426867</x:v>
      </x:c>
      <x:c r="L1410" s="133" t="n">
        <x:v>89.8414985590778</x:v>
      </x:c>
      <x:c r="M1410" s="133" t="n">
        <x:v>89.87217305801377</x:v>
      </x:c>
      <x:c r="N1410" s="133" t="n">
        <x:v>89.68253968253968</x:v>
      </x:c>
      <x:c r="O1410" s="133"/>
      <x:c r="P1410" s="132"/>
    </x:row>
    <x:row r="1411">
      <x:c r="A1411" s="136" t="str">
        <x:v>01073010803</x:v>
      </x:c>
      <x:c r="B1411" s="132" t="str">
        <x:v>Jefferson County</x:v>
      </x:c>
      <x:c r="C1411" s="132" t="n">
        <x:v>1</x:v>
      </x:c>
      <x:c r="D1411" s="134" t="n">
        <x:v>6514</x:v>
      </x:c>
      <x:c r="E1411" s="133" t="n">
        <x:v>7.8</x:v>
      </x:c>
      <x:c r="F1411" s="134" t="n">
        <x:v>5105</x:v>
      </x:c>
      <x:c r="G1411" s="134" t="n">
        <x:v>0</x:v>
      </x:c>
      <x:c r="H1411" s="134" t="n">
        <x:v>4992</x:v>
      </x:c>
      <x:c r="I1411" s="134" t="n">
        <x:v>3912</x:v>
      </x:c>
      <x:c r="J1411" s="133" t="n">
        <x:v>76.63494012895302</x:v>
      </x:c>
      <x:c r="K1411" s="133" t="n">
        <x:v>76.6307541625857</x:v>
      </x:c>
      <x:c r="L1411" s="133" t="n">
        <x:v>76.59744408945687</x:v>
      </x:c>
      <x:c r="M1411" s="133" t="n">
        <x:v>76.6258246936852</x:v>
      </x:c>
      <x:c r="N1411" s="133" t="n">
        <x:v>75</x:v>
      </x:c>
      <x:c r="O1411" s="133" t="n">
        <x:v>76.74418604651163</x:v>
      </x:c>
      <x:c r="P1411" s="132"/>
    </x:row>
    <x:row r="1412">
      <x:c r="A1412" s="136" t="str">
        <x:v>01117030352</x:v>
      </x:c>
      <x:c r="B1412" s="132" t="str">
        <x:v>Shelby County</x:v>
      </x:c>
      <x:c r="C1412" s="132" t="n">
        <x:v>1</x:v>
      </x:c>
      <x:c r="D1412" s="134" t="n">
        <x:v>6077</x:v>
      </x:c>
      <x:c r="E1412" s="133" t="n">
        <x:v>7.2</x:v>
      </x:c>
      <x:c r="F1412" s="134" t="n">
        <x:v>5579</x:v>
      </x:c>
      <x:c r="G1412" s="134" t="n">
        <x:v>0</x:v>
      </x:c>
      <x:c r="H1412" s="134" t="n">
        <x:v>4306</x:v>
      </x:c>
      <x:c r="I1412" s="134" t="n">
        <x:v>3953</x:v>
      </x:c>
      <x:c r="J1412" s="133" t="n">
        <x:v>70.85733091986178</x:v>
      </x:c>
      <x:c r="K1412" s="133" t="n">
        <x:v>70.85499193403835</x:v>
      </x:c>
      <x:c r="L1412" s="133" t="n">
        <x:v>70.86553323029366</x:v>
      </x:c>
      <x:c r="M1412" s="133" t="n">
        <x:v>70.89108910891089</x:v>
      </x:c>
      <x:c r="N1412" s="133" t="n">
        <x:v>70.6896551724138</x:v>
      </x:c>
      <x:c r="O1412" s="133" t="n">
        <x:v>68.42105263157895</x:v>
      </x:c>
      <x:c r="P1412" s="132"/>
    </x:row>
    <x:row r="1413">
      <x:c r="A1413" s="136" t="str">
        <x:v>01073014209</x:v>
      </x:c>
      <x:c r="B1413" s="132" t="str">
        <x:v>Jefferson County</x:v>
      </x:c>
      <x:c r="C1413" s="132" t="n">
        <x:v>1</x:v>
      </x:c>
      <x:c r="D1413" s="134" t="n">
        <x:v>4612</x:v>
      </x:c>
      <x:c r="E1413" s="133" t="n">
        <x:v>8.7</x:v>
      </x:c>
      <x:c r="F1413" s="134" t="n">
        <x:v>4375</x:v>
      </x:c>
      <x:c r="G1413" s="134" t="n">
        <x:v>0</x:v>
      </x:c>
      <x:c r="H1413" s="134" t="n">
        <x:v>4192</x:v>
      </x:c>
      <x:c r="I1413" s="134" t="n">
        <x:v>3977</x:v>
      </x:c>
      <x:c r="J1413" s="133" t="n">
        <x:v>90.89332176929749</x:v>
      </x:c>
      <x:c r="K1413" s="133" t="n">
        <x:v>90.90285714285714</x:v>
      </x:c>
      <x:c r="L1413" s="133" t="n">
        <x:v>90.93484419263456</x:v>
      </x:c>
      <x:c r="M1413" s="133" t="n">
        <x:v>90.86892488954345</x:v>
      </x:c>
      <x:c r="N1413" s="133" t="n">
        <x:v>90.9090909090909</x:v>
      </x:c>
      <x:c r="O1413" s="133" t="n">
        <x:v>90.98360655737704</x:v>
      </x:c>
      <x:c r="P1413" s="132"/>
    </x:row>
    <x:row r="1414">
      <x:c r="A1414" s="136" t="str">
        <x:v>01125010406</x:v>
      </x:c>
      <x:c r="B1414" s="132" t="str">
        <x:v>Tuscaloosa County</x:v>
      </x:c>
      <x:c r="C1414" s="132" t="n">
        <x:v>1</x:v>
      </x:c>
      <x:c r="D1414" s="134" t="n">
        <x:v>4571</x:v>
      </x:c>
      <x:c r="E1414" s="133" t="n">
        <x:v>1.8</x:v>
      </x:c>
      <x:c r="F1414" s="134" t="n">
        <x:v>4722</x:v>
      </x:c>
      <x:c r="G1414" s="134" t="n">
        <x:v>0</x:v>
      </x:c>
      <x:c r="H1414" s="134" t="n">
        <x:v>3855</x:v>
      </x:c>
      <x:c r="I1414" s="134" t="n">
        <x:v>3982</x:v>
      </x:c>
      <x:c r="J1414" s="133" t="n">
        <x:v>84.3360315029534</x:v>
      </x:c>
      <x:c r="K1414" s="133" t="n">
        <x:v>84.32867429055484</x:v>
      </x:c>
      <x:c r="L1414" s="133" t="n">
        <x:v>84.33945756780402</x:v>
      </x:c>
      <x:c r="M1414" s="133" t="n">
        <x:v>84.35185185185185</x:v>
      </x:c>
      <x:c r="N1414" s="133" t="n">
        <x:v>84.46601941747574</x:v>
      </x:c>
      <x:c r="O1414" s="133" t="n">
        <x:v>83.33333333333333</x:v>
      </x:c>
      <x:c r="P1414" s="132"/>
    </x:row>
    <x:row r="1415">
      <x:c r="A1415" s="136" t="str">
        <x:v>01089011201</x:v>
      </x:c>
      <x:c r="B1415" s="132" t="str">
        <x:v>Madison County</x:v>
      </x:c>
      <x:c r="C1415" s="132" t="n">
        <x:v>1</x:v>
      </x:c>
      <x:c r="D1415" s="134" t="n">
        <x:v>5559</x:v>
      </x:c>
      <x:c r="E1415" s="133" t="n">
        <x:v>7.3</x:v>
      </x:c>
      <x:c r="F1415" s="134" t="n">
        <x:v>4803</x:v>
      </x:c>
      <x:c r="G1415" s="134" t="n">
        <x:v>0</x:v>
      </x:c>
      <x:c r="H1415" s="134" t="n">
        <x:v>4642</x:v>
      </x:c>
      <x:c r="I1415" s="134" t="n">
        <x:v>4011</x:v>
      </x:c>
      <x:c r="J1415" s="133" t="n">
        <x:v>83.50422737902501</x:v>
      </x:c>
      <x:c r="K1415" s="133" t="n">
        <x:v>83.5103060587133</x:v>
      </x:c>
      <x:c r="L1415" s="133" t="n">
        <x:v>83.48082595870207</x:v>
      </x:c>
      <x:c r="M1415" s="133" t="n">
        <x:v>83.4448160535117</x:v>
      </x:c>
      <x:c r="N1415" s="133" t="n">
        <x:v>83.33333333333333</x:v>
      </x:c>
      <x:c r="O1415" s="133" t="n">
        <x:v>84.31372549019608</x:v>
      </x:c>
      <x:c r="P1415" s="132"/>
    </x:row>
    <x:row r="1416">
      <x:c r="A1416" s="136" t="str">
        <x:v>01089011202</x:v>
      </x:c>
      <x:c r="B1416" s="132" t="str">
        <x:v>Madison County</x:v>
      </x:c>
      <x:c r="C1416" s="132" t="n">
        <x:v>1</x:v>
      </x:c>
      <x:c r="D1416" s="134" t="n">
        <x:v>4837</x:v>
      </x:c>
      <x:c r="E1416" s="133" t="n">
        <x:v>11.6</x:v>
      </x:c>
      <x:c r="F1416" s="134" t="n">
        <x:v>4500</x:v>
      </x:c>
      <x:c r="G1416" s="134" t="n">
        <x:v>0</x:v>
      </x:c>
      <x:c r="H1416" s="134" t="n">
        <x:v>4442</x:v>
      </x:c>
      <x:c r="I1416" s="134" t="n">
        <x:v>4133</x:v>
      </x:c>
      <x:c r="J1416" s="133" t="n">
        <x:v>91.83378126938184</x:v>
      </x:c>
      <x:c r="K1416" s="133" t="n">
        <x:v>91.84444444444445</x:v>
      </x:c>
      <x:c r="L1416" s="133" t="n">
        <x:v>91.77304964539007</x:v>
      </x:c>
      <x:c r="M1416" s="133" t="n">
        <x:v>91.846921797005</x:v>
      </x:c>
      <x:c r="N1416" s="133" t="n">
        <x:v>91.30434782608695</x:v>
      </x:c>
      <x:c r="O1416" s="133" t="n">
        <x:v>92.03539823008849</x:v>
      </x:c>
      <x:c r="P1416" s="132"/>
    </x:row>
    <x:row r="1417">
      <x:c r="A1417" s="136" t="str">
        <x:v>01089010623</x:v>
      </x:c>
      <x:c r="B1417" s="132" t="str">
        <x:v>Madison County</x:v>
      </x:c>
      <x:c r="C1417" s="132" t="n">
        <x:v>1</x:v>
      </x:c>
      <x:c r="D1417" s="134" t="n">
        <x:v>7376</x:v>
      </x:c>
      <x:c r="E1417" s="133" t="n">
        <x:v>0.8</x:v>
      </x:c>
      <x:c r="F1417" s="134" t="n">
        <x:v>7050</x:v>
      </x:c>
      <x:c r="G1417" s="134" t="n">
        <x:v>0</x:v>
      </x:c>
      <x:c r="H1417" s="134" t="n">
        <x:v>4370</x:v>
      </x:c>
      <x:c r="I1417" s="134" t="n">
        <x:v>4177</x:v>
      </x:c>
      <x:c r="J1417" s="133" t="n">
        <x:v>59.246203904555315</x:v>
      </x:c>
      <x:c r="K1417" s="133" t="n">
        <x:v>59.248226950354606</x:v>
      </x:c>
      <x:c r="L1417" s="133" t="n">
        <x:v>59.21849201981288</x:v>
      </x:c>
      <x:c r="M1417" s="133" t="n">
        <x:v>59.225280326197755</x:v>
      </x:c>
      <x:c r="N1417" s="133"/>
      <x:c r="O1417" s="133" t="n">
        <x:v>59.25925925925926</x:v>
      </x:c>
      <x:c r="P1417" s="132"/>
    </x:row>
    <x:row r="1418">
      <x:c r="A1418" s="136" t="str">
        <x:v>01117030304</x:v>
      </x:c>
      <x:c r="B1418" s="132" t="str">
        <x:v>Shelby County</x:v>
      </x:c>
      <x:c r="C1418" s="132" t="n">
        <x:v>1</x:v>
      </x:c>
      <x:c r="D1418" s="134" t="n">
        <x:v>6311</x:v>
      </x:c>
      <x:c r="E1418" s="133" t="n">
        <x:v>5.4</x:v>
      </x:c>
      <x:c r="F1418" s="134" t="n">
        <x:v>5424</x:v>
      </x:c>
      <x:c r="G1418" s="134" t="n">
        <x:v>0</x:v>
      </x:c>
      <x:c r="H1418" s="134" t="n">
        <x:v>4941</x:v>
      </x:c>
      <x:c r="I1418" s="134" t="n">
        <x:v>4247</x:v>
      </x:c>
      <x:c r="J1418" s="133" t="n">
        <x:v>78.29187133576295</x:v>
      </x:c>
      <x:c r="K1418" s="133" t="n">
        <x:v>78.30014749262537</x:v>
      </x:c>
      <x:c r="L1418" s="133" t="n">
        <x:v>78.31412103746398</x:v>
      </x:c>
      <x:c r="M1418" s="133" t="n">
        <x:v>78.29286239882266</x:v>
      </x:c>
      <x:c r="N1418" s="133" t="n">
        <x:v>77.77777777777777</x:v>
      </x:c>
      <x:c r="O1418" s="133" t="n">
        <x:v>76.47058823529412</x:v>
      </x:c>
      <x:c r="P1418" s="132"/>
    </x:row>
    <x:row r="1419">
      <x:c r="A1419" s="136" t="str">
        <x:v>01073014406</x:v>
      </x:c>
      <x:c r="B1419" s="132" t="str">
        <x:v>Jefferson County</x:v>
      </x:c>
      <x:c r="C1419" s="132" t="n">
        <x:v>1</x:v>
      </x:c>
      <x:c r="D1419" s="134" t="n">
        <x:v>6219</x:v>
      </x:c>
      <x:c r="E1419" s="133" t="n">
        <x:v>4.3</x:v>
      </x:c>
      <x:c r="F1419" s="134" t="n">
        <x:v>5395</x:v>
      </x:c>
      <x:c r="G1419" s="134" t="n">
        <x:v>0</x:v>
      </x:c>
      <x:c r="H1419" s="134" t="n">
        <x:v>4919</x:v>
      </x:c>
      <x:c r="I1419" s="134" t="n">
        <x:v>4268</x:v>
      </x:c>
      <x:c r="J1419" s="133" t="n">
        <x:v>79.09631773597042</x:v>
      </x:c>
      <x:c r="K1419" s="133" t="n">
        <x:v>79.11028730305839</x:v>
      </x:c>
      <x:c r="L1419" s="133" t="n">
        <x:v>79.08366533864542</x:v>
      </x:c>
      <x:c r="M1419" s="133" t="n">
        <x:v>79.07523510971787</x:v>
      </x:c>
      <x:c r="N1419" s="133"/>
      <x:c r="O1419" s="133"/>
      <x:c r="P1419" s="132"/>
    </x:row>
    <x:row r="1420">
      <x:c r="A1420" s="136" t="str">
        <x:v>01089010631</x:v>
      </x:c>
      <x:c r="B1420" s="132" t="str">
        <x:v>Madison County</x:v>
      </x:c>
      <x:c r="C1420" s="132" t="n">
        <x:v>1</x:v>
      </x:c>
      <x:c r="D1420" s="134" t="n">
        <x:v>4782</x:v>
      </x:c>
      <x:c r="E1420" s="133" t="n">
        <x:v>1.3</x:v>
      </x:c>
      <x:c r="F1420" s="134" t="n">
        <x:v>5167</x:v>
      </x:c>
      <x:c r="G1420" s="134" t="n">
        <x:v>0</x:v>
      </x:c>
      <x:c r="H1420" s="134" t="n">
        <x:v>4010</x:v>
      </x:c>
      <x:c r="I1420" s="134" t="n">
        <x:v>4333</x:v>
      </x:c>
      <x:c r="J1420" s="133" t="n">
        <x:v>83.85612714345463</x:v>
      </x:c>
      <x:c r="K1420" s="133" t="n">
        <x:v>83.8591058641378</x:v>
      </x:c>
      <x:c r="L1420" s="133" t="n">
        <x:v>83.8403041825095</x:v>
      </x:c>
      <x:c r="M1420" s="133" t="n">
        <x:v>83.83977900552486</x:v>
      </x:c>
      <x:c r="N1420" s="133" t="n">
        <x:v>84.61538461538461</x:v>
      </x:c>
      <x:c r="O1420" s="133"/>
      <x:c r="P1420" s="132"/>
    </x:row>
    <x:row r="1421">
      <x:c r="A1421" s="136" t="str">
        <x:v>01117030607</x:v>
      </x:c>
      <x:c r="B1421" s="132" t="str">
        <x:v>Shelby County</x:v>
      </x:c>
      <x:c r="C1421" s="132" t="n">
        <x:v>1</x:v>
      </x:c>
      <x:c r="D1421" s="134" t="n">
        <x:v>6175</x:v>
      </x:c>
      <x:c r="E1421" s="133" t="n">
        <x:v>3.1</x:v>
      </x:c>
      <x:c r="F1421" s="134" t="n">
        <x:v>6211</x:v>
      </x:c>
      <x:c r="G1421" s="134" t="n">
        <x:v>0</x:v>
      </x:c>
      <x:c r="H1421" s="134" t="n">
        <x:v>4382</x:v>
      </x:c>
      <x:c r="I1421" s="134" t="n">
        <x:v>4407</x:v>
      </x:c>
      <x:c r="J1421" s="133" t="n">
        <x:v>70.96356275303644</x:v>
      </x:c>
      <x:c r="K1421" s="133" t="n">
        <x:v>70.95475768797296</x:v>
      </x:c>
      <x:c r="L1421" s="133" t="n">
        <x:v>70.9717868338558</x:v>
      </x:c>
      <x:c r="M1421" s="133" t="n">
        <x:v>71.01096224116931</x:v>
      </x:c>
      <x:c r="N1421" s="133" t="n">
        <x:v>70.51282051282051</x:v>
      </x:c>
      <x:c r="O1421" s="133" t="n">
        <x:v>73.33333333333333</x:v>
      </x:c>
      <x:c r="P1421" s="132"/>
    </x:row>
    <x:row r="1422">
      <x:c r="A1422" s="136" t="str">
        <x:v>01089011203</x:v>
      </x:c>
      <x:c r="B1422" s="132" t="str">
        <x:v>Madison County</x:v>
      </x:c>
      <x:c r="C1422" s="132" t="n">
        <x:v>1</x:v>
      </x:c>
      <x:c r="D1422" s="134" t="n">
        <x:v>5480</x:v>
      </x:c>
      <x:c r="E1422" s="133" t="n">
        <x:v>5.8</x:v>
      </x:c>
      <x:c r="F1422" s="134" t="n">
        <x:v>5810</x:v>
      </x:c>
      <x:c r="G1422" s="134" t="n">
        <x:v>0</x:v>
      </x:c>
      <x:c r="H1422" s="134" t="n">
        <x:v>4187</x:v>
      </x:c>
      <x:c r="I1422" s="134" t="n">
        <x:v>4439</x:v>
      </x:c>
      <x:c r="J1422" s="133" t="n">
        <x:v>76.4051094890511</x:v>
      </x:c>
      <x:c r="K1422" s="133" t="n">
        <x:v>76.4027538726334</x:v>
      </x:c>
      <x:c r="L1422" s="133" t="n">
        <x:v>76.42907551164431</x:v>
      </x:c>
      <x:c r="M1422" s="133" t="n">
        <x:v>76.46103896103897</x:v>
      </x:c>
      <x:c r="N1422" s="133" t="n">
        <x:v>76.19047619047619</x:v>
      </x:c>
      <x:c r="O1422" s="133" t="n">
        <x:v>76.47058823529412</x:v>
      </x:c>
      <x:c r="P1422" s="132"/>
    </x:row>
    <x:row r="1423">
      <x:c r="A1423" s="136" t="str">
        <x:v>01125010101</x:v>
      </x:c>
      <x:c r="B1423" s="132" t="str">
        <x:v>Tuscaloosa County</x:v>
      </x:c>
      <x:c r="C1423" s="132" t="n">
        <x:v>1</x:v>
      </x:c>
      <x:c r="D1423" s="134" t="n">
        <x:v>3905</x:v>
      </x:c>
      <x:c r="E1423" s="133" t="n">
        <x:v>3.4</x:v>
      </x:c>
      <x:c r="F1423" s="134" t="n">
        <x:v>4458</x:v>
      </x:c>
      <x:c r="G1423" s="134" t="n">
        <x:v>0</x:v>
      </x:c>
      <x:c r="H1423" s="134" t="n">
        <x:v>3905</x:v>
      </x:c>
      <x:c r="I1423" s="134" t="n">
        <x:v>4458</x:v>
      </x:c>
      <x:c r="J1423" s="133" t="n">
        <x:v>100</x:v>
      </x:c>
      <x:c r="K1423" s="133" t="n">
        <x:v>100</x:v>
      </x:c>
      <x:c r="L1423" s="133" t="n">
        <x:v>100</x:v>
      </x:c>
      <x:c r="M1423" s="133" t="n">
        <x:v>100</x:v>
      </x:c>
      <x:c r="N1423" s="133" t="n">
        <x:v>100</x:v>
      </x:c>
      <x:c r="O1423" s="133"/>
      <x:c r="P1423" s="132"/>
    </x:row>
    <x:row r="1424">
      <x:c r="A1424" s="136" t="str">
        <x:v>01073014414</x:v>
      </x:c>
      <x:c r="B1424" s="132" t="str">
        <x:v>Jefferson County</x:v>
      </x:c>
      <x:c r="C1424" s="132" t="n">
        <x:v>1</x:v>
      </x:c>
      <x:c r="D1424" s="134" t="n">
        <x:v>7006</x:v>
      </x:c>
      <x:c r="E1424" s="133" t="n">
        <x:v>0.9</x:v>
      </x:c>
      <x:c r="F1424" s="134" t="n">
        <x:v>5863</x:v>
      </x:c>
      <x:c r="G1424" s="134" t="n">
        <x:v>0</x:v>
      </x:c>
      <x:c r="H1424" s="134" t="n">
        <x:v>5515</x:v>
      </x:c>
      <x:c r="I1424" s="134" t="n">
        <x:v>4615</x:v>
      </x:c>
      <x:c r="J1424" s="133" t="n">
        <x:v>78.71824150727947</x:v>
      </x:c>
      <x:c r="K1424" s="133" t="n">
        <x:v>78.7139689578714</x:v>
      </x:c>
      <x:c r="L1424" s="133" t="n">
        <x:v>78.69507323568575</x:v>
      </x:c>
      <x:c r="M1424" s="133" t="n">
        <x:v>78.68632707774799</x:v>
      </x:c>
      <x:c r="N1424" s="133" t="n">
        <x:v>77.77777777777777</x:v>
      </x:c>
      <x:c r="O1424" s="133"/>
      <x:c r="P1424" s="132"/>
    </x:row>
    <x:row r="1425">
      <x:c r="A1425" s="136" t="str">
        <x:v>01101005607</x:v>
      </x:c>
      <x:c r="B1425" s="132" t="str">
        <x:v>Montgomery County</x:v>
      </x:c>
      <x:c r="C1425" s="132" t="n">
        <x:v>1</x:v>
      </x:c>
      <x:c r="D1425" s="134" t="n">
        <x:v>5640</x:v>
      </x:c>
      <x:c r="E1425" s="133" t="n">
        <x:v>8.9</x:v>
      </x:c>
      <x:c r="F1425" s="134" t="n">
        <x:v>5179</x:v>
      </x:c>
      <x:c r="G1425" s="134" t="n">
        <x:v>0</x:v>
      </x:c>
      <x:c r="H1425" s="134" t="n">
        <x:v>5149</x:v>
      </x:c>
      <x:c r="I1425" s="134" t="n">
        <x:v>4728</x:v>
      </x:c>
      <x:c r="J1425" s="133" t="n">
        <x:v>91.29432624113475</x:v>
      </x:c>
      <x:c r="K1425" s="133" t="n">
        <x:v>91.29175516508978</x:v>
      </x:c>
      <x:c r="L1425" s="133" t="n">
        <x:v>91.28081779915814</x:v>
      </x:c>
      <x:c r="M1425" s="133" t="n">
        <x:v>91.37055837563452</x:v>
      </x:c>
      <x:c r="N1425" s="133" t="n">
        <x:v>90</x:v>
      </x:c>
      <x:c r="O1425" s="133" t="n">
        <x:v>92.3076923076923</x:v>
      </x:c>
      <x:c r="P1425" s="132"/>
    </x:row>
    <x:row r="1426">
      <x:c r="A1426" s="136" t="str">
        <x:v>01117030220</x:v>
      </x:c>
      <x:c r="B1426" s="132" t="str">
        <x:v>Shelby County</x:v>
      </x:c>
      <x:c r="C1426" s="132" t="n">
        <x:v>1</x:v>
      </x:c>
      <x:c r="D1426" s="134" t="n">
        <x:v>5827</x:v>
      </x:c>
      <x:c r="E1426" s="133" t="n">
        <x:v>3</x:v>
      </x:c>
      <x:c r="F1426" s="134" t="n">
        <x:v>5225</x:v>
      </x:c>
      <x:c r="G1426" s="134" t="n">
        <x:v>0</x:v>
      </x:c>
      <x:c r="H1426" s="134" t="n">
        <x:v>5322</x:v>
      </x:c>
      <x:c r="I1426" s="134" t="n">
        <x:v>4772</x:v>
      </x:c>
      <x:c r="J1426" s="133" t="n">
        <x:v>91.33344774326412</x:v>
      </x:c>
      <x:c r="K1426" s="133" t="n">
        <x:v>91.33014354066985</x:v>
      </x:c>
      <x:c r="L1426" s="133" t="n">
        <x:v>91.33640552995392</x:v>
      </x:c>
      <x:c r="M1426" s="133" t="n">
        <x:v>91.30434782608695</x:v>
      </x:c>
      <x:c r="N1426" s="133" t="n">
        <x:v>90.9090909090909</x:v>
      </x:c>
      <x:c r="O1426" s="133"/>
      <x:c r="P1426" s="132"/>
    </x:row>
    <x:row r="1427">
      <x:c r="A1427" s="136" t="str">
        <x:v>01073010806</x:v>
      </x:c>
      <x:c r="B1427" s="132" t="str">
        <x:v>Jefferson County</x:v>
      </x:c>
      <x:c r="C1427" s="132" t="n">
        <x:v>1</x:v>
      </x:c>
      <x:c r="D1427" s="134" t="n">
        <x:v>6486</x:v>
      </x:c>
      <x:c r="E1427" s="133" t="n">
        <x:v>4.2</x:v>
      </x:c>
      <x:c r="F1427" s="134" t="n">
        <x:v>5069</x:v>
      </x:c>
      <x:c r="G1427" s="134" t="n">
        <x:v>0</x:v>
      </x:c>
      <x:c r="H1427" s="134" t="n">
        <x:v>6117</x:v>
      </x:c>
      <x:c r="I1427" s="134" t="n">
        <x:v>4781</x:v>
      </x:c>
      <x:c r="J1427" s="133" t="n">
        <x:v>94.31082331174838</x:v>
      </x:c>
      <x:c r="K1427" s="133" t="n">
        <x:v>94.31840599723812</x:v>
      </x:c>
      <x:c r="L1427" s="133" t="n">
        <x:v>94.29657794676807</x:v>
      </x:c>
      <x:c r="M1427" s="133" t="n">
        <x:v>94.29892141756548</x:v>
      </x:c>
      <x:c r="N1427" s="133" t="n">
        <x:v>93.75</x:v>
      </x:c>
      <x:c r="O1427" s="133"/>
      <x:c r="P1427" s="132"/>
    </x:row>
    <x:row r="1428">
      <x:c r="A1428" s="136" t="str">
        <x:v>01117030613</x:v>
      </x:c>
      <x:c r="B1428" s="132" t="str">
        <x:v>Shelby County</x:v>
      </x:c>
      <x:c r="C1428" s="132" t="n">
        <x:v>1</x:v>
      </x:c>
      <x:c r="D1428" s="134" t="n">
        <x:v>6935</x:v>
      </x:c>
      <x:c r="E1428" s="133" t="n">
        <x:v>7.3</x:v>
      </x:c>
      <x:c r="F1428" s="134" t="n">
        <x:v>6184</x:v>
      </x:c>
      <x:c r="G1428" s="134" t="n">
        <x:v>0</x:v>
      </x:c>
      <x:c r="H1428" s="134" t="n">
        <x:v>5375</x:v>
      </x:c>
      <x:c r="I1428" s="134" t="n">
        <x:v>4793</x:v>
      </x:c>
      <x:c r="J1428" s="133" t="n">
        <x:v>77.50540735400145</x:v>
      </x:c>
      <x:c r="K1428" s="133" t="n">
        <x:v>77.50646830530401</x:v>
      </x:c>
      <x:c r="L1428" s="133" t="n">
        <x:v>77.47899159663865</x:v>
      </x:c>
      <x:c r="M1428" s="133" t="n">
        <x:v>77.46305418719211</x:v>
      </x:c>
      <x:c r="N1428" s="133"/>
      <x:c r="O1428" s="133" t="n">
        <x:v>77.37226277372262</x:v>
      </x:c>
      <x:c r="P1428" s="132"/>
    </x:row>
    <x:row r="1429">
      <x:c r="A1429" s="136" t="str">
        <x:v>01089011012</x:v>
      </x:c>
      <x:c r="B1429" s="132" t="str">
        <x:v>Madison County</x:v>
      </x:c>
      <x:c r="C1429" s="132" t="n">
        <x:v>1</x:v>
      </x:c>
      <x:c r="D1429" s="134" t="n">
        <x:v>6040</x:v>
      </x:c>
      <x:c r="E1429" s="133" t="n">
        <x:v>1.9</x:v>
      </x:c>
      <x:c r="F1429" s="134" t="n">
        <x:v>5897</x:v>
      </x:c>
      <x:c r="G1429" s="134" t="n">
        <x:v>0</x:v>
      </x:c>
      <x:c r="H1429" s="134" t="n">
        <x:v>4944</x:v>
      </x:c>
      <x:c r="I1429" s="134" t="n">
        <x:v>4827</x:v>
      </x:c>
      <x:c r="J1429" s="133" t="n">
        <x:v>81.8543046357616</x:v>
      </x:c>
      <x:c r="K1429" s="133" t="n">
        <x:v>81.85518060030525</x:v>
      </x:c>
      <x:c r="L1429" s="133" t="n">
        <x:v>81.87772925764192</x:v>
      </x:c>
      <x:c r="M1429" s="133" t="n">
        <x:v>81.87919463087249</x:v>
      </x:c>
      <x:c r="N1429" s="133"/>
      <x:c r="O1429" s="133" t="n">
        <x:v>80</x:v>
      </x:c>
      <x:c r="P1429" s="132"/>
    </x:row>
    <x:row r="1430">
      <x:c r="A1430" s="136" t="str">
        <x:v>01089010903</x:v>
      </x:c>
      <x:c r="B1430" s="132" t="str">
        <x:v>Madison County</x:v>
      </x:c>
      <x:c r="C1430" s="132" t="n">
        <x:v>1</x:v>
      </x:c>
      <x:c r="D1430" s="134" t="n">
        <x:v>6582</x:v>
      </x:c>
      <x:c r="E1430" s="133" t="n">
        <x:v>2.8</x:v>
      </x:c>
      <x:c r="F1430" s="134" t="n">
        <x:v>6193</x:v>
      </x:c>
      <x:c r="G1430" s="134" t="n">
        <x:v>0</x:v>
      </x:c>
      <x:c r="H1430" s="134" t="n">
        <x:v>5138</x:v>
      </x:c>
      <x:c r="I1430" s="134" t="n">
        <x:v>4834</x:v>
      </x:c>
      <x:c r="J1430" s="133" t="n">
        <x:v>78.06137951990277</x:v>
      </x:c>
      <x:c r="K1430" s="133" t="n">
        <x:v>78.05586953011465</x:v>
      </x:c>
      <x:c r="L1430" s="133" t="n">
        <x:v>78.05555555555556</x:v>
      </x:c>
      <x:c r="M1430" s="133" t="n">
        <x:v>78.0327868852459</x:v>
      </x:c>
      <x:c r="N1430" s="133" t="n">
        <x:v>77.77777777777777</x:v>
      </x:c>
      <x:c r="O1430" s="133" t="n">
        <x:v>78.78787878787878</x:v>
      </x:c>
      <x:c r="P1430" s="132"/>
    </x:row>
    <x:row r="1431">
      <x:c r="A1431" s="136" t="str">
        <x:v>01081040501</x:v>
      </x:c>
      <x:c r="B1431" s="132" t="str">
        <x:v>Lee County</x:v>
      </x:c>
      <x:c r="C1431" s="132" t="n">
        <x:v>1</x:v>
      </x:c>
      <x:c r="D1431" s="134" t="n">
        <x:v>6514</x:v>
      </x:c>
      <x:c r="E1431" s="133" t="n">
        <x:v>5</x:v>
      </x:c>
      <x:c r="F1431" s="134" t="n">
        <x:v>6786</x:v>
      </x:c>
      <x:c r="G1431" s="134" t="n">
        <x:v>0</x:v>
      </x:c>
      <x:c r="H1431" s="134" t="n">
        <x:v>4655</x:v>
      </x:c>
      <x:c r="I1431" s="134" t="n">
        <x:v>4849</x:v>
      </x:c>
      <x:c r="J1431" s="133" t="n">
        <x:v>71.46146760822843</x:v>
      </x:c>
      <x:c r="K1431" s="133" t="n">
        <x:v>71.455938697318</x:v>
      </x:c>
      <x:c r="L1431" s="133" t="n">
        <x:v>71.48036253776435</x:v>
      </x:c>
      <x:c r="M1431" s="133" t="n">
        <x:v>71.45214521452145</x:v>
      </x:c>
      <x:c r="N1431" s="133" t="n">
        <x:v>69.56521739130434</x:v>
      </x:c>
      <x:c r="O1431" s="133" t="n">
        <x:v>71.42857142857143</x:v>
      </x:c>
      <x:c r="P1431" s="132"/>
    </x:row>
    <x:row r="1432">
      <x:c r="A1432" s="136" t="str">
        <x:v>01089010504</x:v>
      </x:c>
      <x:c r="B1432" s="132" t="str">
        <x:v>Madison County</x:v>
      </x:c>
      <x:c r="C1432" s="132" t="n">
        <x:v>1</x:v>
      </x:c>
      <x:c r="D1432" s="134" t="n">
        <x:v>7570</x:v>
      </x:c>
      <x:c r="E1432" s="133" t="n">
        <x:v>6.8</x:v>
      </x:c>
      <x:c r="F1432" s="134" t="n">
        <x:v>5908</x:v>
      </x:c>
      <x:c r="G1432" s="134" t="n">
        <x:v>0</x:v>
      </x:c>
      <x:c r="H1432" s="134" t="n">
        <x:v>6239</x:v>
      </x:c>
      <x:c r="I1432" s="134" t="n">
        <x:v>4869</x:v>
      </x:c>
      <x:c r="J1432" s="133" t="n">
        <x:v>82.41743725231176</x:v>
      </x:c>
      <x:c r="K1432" s="133" t="n">
        <x:v>82.41367637102235</x:v>
      </x:c>
      <x:c r="L1432" s="133" t="n">
        <x:v>82.4074074074074</x:v>
      </x:c>
      <x:c r="M1432" s="133" t="n">
        <x:v>82.43114909781576</x:v>
      </x:c>
      <x:c r="N1432" s="133" t="n">
        <x:v>82.8125</x:v>
      </x:c>
      <x:c r="O1432" s="133" t="n">
        <x:v>82.17054263565892</x:v>
      </x:c>
      <x:c r="P1432" s="132"/>
    </x:row>
    <x:row r="1433">
      <x:c r="A1433" s="136" t="str">
        <x:v>01083021202</x:v>
      </x:c>
      <x:c r="B1433" s="132" t="str">
        <x:v>Limestone County</x:v>
      </x:c>
      <x:c r="C1433" s="132" t="n">
        <x:v>1</x:v>
      </x:c>
      <x:c r="D1433" s="134" t="n">
        <x:v>6460</x:v>
      </x:c>
      <x:c r="E1433" s="133" t="n">
        <x:v>2.3</x:v>
      </x:c>
      <x:c r="F1433" s="134" t="n">
        <x:v>5591</x:v>
      </x:c>
      <x:c r="G1433" s="134" t="n">
        <x:v>0</x:v>
      </x:c>
      <x:c r="H1433" s="134" t="n">
        <x:v>5795</x:v>
      </x:c>
      <x:c r="I1433" s="134" t="n">
        <x:v>5016</x:v>
      </x:c>
      <x:c r="J1433" s="133" t="n">
        <x:v>89.70588235294117</x:v>
      </x:c>
      <x:c r="K1433" s="133" t="n">
        <x:v>89.71561438025398</x:v>
      </x:c>
      <x:c r="L1433" s="133" t="n">
        <x:v>89.7316219369895</x:v>
      </x:c>
      <x:c r="M1433" s="133" t="n">
        <x:v>89.65986394557824</x:v>
      </x:c>
      <x:c r="N1433" s="133"/>
      <x:c r="O1433" s="133" t="n">
        <x:v>89.24731182795699</x:v>
      </x:c>
      <x:c r="P1433" s="132"/>
    </x:row>
    <x:row r="1434">
      <x:c r="A1434" s="136" t="str">
        <x:v>01073014208</x:v>
      </x:c>
      <x:c r="B1434" s="132" t="str">
        <x:v>Jefferson County</x:v>
      </x:c>
      <x:c r="C1434" s="132" t="n">
        <x:v>1</x:v>
      </x:c>
      <x:c r="D1434" s="134" t="n">
        <x:v>6433</x:v>
      </x:c>
      <x:c r="E1434" s="133" t="n">
        <x:v>1.2</x:v>
      </x:c>
      <x:c r="F1434" s="134" t="n">
        <x:v>5700</x:v>
      </x:c>
      <x:c r="G1434" s="134" t="n">
        <x:v>0</x:v>
      </x:c>
      <x:c r="H1434" s="134" t="n">
        <x:v>5695</x:v>
      </x:c>
      <x:c r="I1434" s="134" t="n">
        <x:v>5046</x:v>
      </x:c>
      <x:c r="J1434" s="133" t="n">
        <x:v>88.52790300015545</x:v>
      </x:c>
      <x:c r="K1434" s="133" t="n">
        <x:v>88.52631578947368</x:v>
      </x:c>
      <x:c r="L1434" s="133" t="n">
        <x:v>88.56364874063989</x:v>
      </x:c>
      <x:c r="M1434" s="133" t="n">
        <x:v>88.54679802955665</x:v>
      </x:c>
      <x:c r="N1434" s="133" t="n">
        <x:v>90.47619047619048</x:v>
      </x:c>
      <x:c r="O1434" s="133" t="n">
        <x:v>88.60759493670886</x:v>
      </x:c>
      <x:c r="P1434" s="132"/>
    </x:row>
    <x:row r="1435">
      <x:c r="A1435" s="136" t="str">
        <x:v>01073012703</x:v>
      </x:c>
      <x:c r="B1435" s="132" t="str">
        <x:v>Jefferson County</x:v>
      </x:c>
      <x:c r="C1435" s="132" t="n">
        <x:v>1</x:v>
      </x:c>
      <x:c r="D1435" s="134" t="n">
        <x:v>7347</x:v>
      </x:c>
      <x:c r="E1435" s="133" t="n">
        <x:v>10.1</x:v>
      </x:c>
      <x:c r="F1435" s="134" t="n">
        <x:v>5697</x:v>
      </x:c>
      <x:c r="G1435" s="134" t="n">
        <x:v>0</x:v>
      </x:c>
      <x:c r="H1435" s="134" t="n">
        <x:v>6960</x:v>
      </x:c>
      <x:c r="I1435" s="134" t="n">
        <x:v>5397</x:v>
      </x:c>
      <x:c r="J1435" s="133" t="n">
        <x:v>94.73254389546754</x:v>
      </x:c>
      <x:c r="K1435" s="133" t="n">
        <x:v>94.73407056345445</x:v>
      </x:c>
      <x:c r="L1435" s="133" t="n">
        <x:v>94.71585244267199</x:v>
      </x:c>
      <x:c r="M1435" s="133" t="n">
        <x:v>94.7136563876652</x:v>
      </x:c>
      <x:c r="N1435" s="133"/>
      <x:c r="O1435" s="133"/>
      <x:c r="P1435" s="132"/>
    </x:row>
    <x:row r="1436">
      <x:c r="A1436" s="136" t="str">
        <x:v>01083021201</x:v>
      </x:c>
      <x:c r="B1436" s="132" t="str">
        <x:v>Limestone County</x:v>
      </x:c>
      <x:c r="C1436" s="132" t="n">
        <x:v>1</x:v>
      </x:c>
      <x:c r="D1436" s="134" t="n">
        <x:v>8733</x:v>
      </x:c>
      <x:c r="E1436" s="133" t="n">
        <x:v>3.2</x:v>
      </x:c>
      <x:c r="F1436" s="134" t="n">
        <x:v>8685</x:v>
      </x:c>
      <x:c r="G1436" s="134" t="n">
        <x:v>0</x:v>
      </x:c>
      <x:c r="H1436" s="134" t="n">
        <x:v>5507</x:v>
      </x:c>
      <x:c r="I1436" s="134" t="n">
        <x:v>5476</x:v>
      </x:c>
      <x:c r="J1436" s="133" t="n">
        <x:v>63.05965876560174</x:v>
      </x:c>
      <x:c r="K1436" s="133" t="n">
        <x:v>63.051237766263675</x:v>
      </x:c>
      <x:c r="L1436" s="133" t="n">
        <x:v>63.03939962476548</x:v>
      </x:c>
      <x:c r="M1436" s="133" t="n">
        <x:v>63.08641975308642</x:v>
      </x:c>
      <x:c r="N1436" s="133"/>
      <x:c r="O1436" s="133" t="n">
        <x:v>63.04347826086956</x:v>
      </x:c>
      <x:c r="P1436" s="132"/>
    </x:row>
    <x:row r="1437">
      <x:c r="A1437" s="136" t="str">
        <x:v>01089010102</x:v>
      </x:c>
      <x:c r="B1437" s="132" t="str">
        <x:v>Madison County</x:v>
      </x:c>
      <x:c r="C1437" s="132" t="n">
        <x:v>1</x:v>
      </x:c>
      <x:c r="D1437" s="134" t="n">
        <x:v>5486</x:v>
      </x:c>
      <x:c r="E1437" s="133" t="n">
        <x:v>5.4</x:v>
      </x:c>
      <x:c r="F1437" s="134" t="n">
        <x:v>5856</x:v>
      </x:c>
      <x:c r="G1437" s="134" t="n">
        <x:v>0</x:v>
      </x:c>
      <x:c r="H1437" s="134" t="n">
        <x:v>5306</x:v>
      </x:c>
      <x:c r="I1437" s="134" t="n">
        <x:v>5664</x:v>
      </x:c>
      <x:c r="J1437" s="133" t="n">
        <x:v>96.718920889537</x:v>
      </x:c>
      <x:c r="K1437" s="133" t="n">
        <x:v>96.72131147540983</x:v>
      </x:c>
      <x:c r="L1437" s="133" t="n">
        <x:v>96.6896551724138</x:v>
      </x:c>
      <x:c r="M1437" s="133" t="n">
        <x:v>96.71875</x:v>
      </x:c>
      <x:c r="N1437" s="133" t="n">
        <x:v>96.42857142857143</x:v>
      </x:c>
      <x:c r="O1437" s="133" t="n">
        <x:v>97.72727272727273</x:v>
      </x:c>
      <x:c r="P1437" s="132"/>
    </x:row>
    <x:row r="1438">
      <x:c r="A1438" s="136" t="str">
        <x:v>01117030216</x:v>
      </x:c>
      <x:c r="B1438" s="132" t="str">
        <x:v>Shelby County</x:v>
      </x:c>
      <x:c r="C1438" s="132" t="n">
        <x:v>1</x:v>
      </x:c>
      <x:c r="D1438" s="134" t="n">
        <x:v>8070</x:v>
      </x:c>
      <x:c r="E1438" s="133" t="n">
        <x:v>3.5</x:v>
      </x:c>
      <x:c r="F1438" s="134" t="n">
        <x:v>7413</x:v>
      </x:c>
      <x:c r="G1438" s="134" t="n">
        <x:v>0</x:v>
      </x:c>
      <x:c r="H1438" s="134" t="n">
        <x:v>6248</x:v>
      </x:c>
      <x:c r="I1438" s="134" t="n">
        <x:v>5739</x:v>
      </x:c>
      <x:c r="J1438" s="133" t="n">
        <x:v>77.42255266418836</x:v>
      </x:c>
      <x:c r="K1438" s="133" t="n">
        <x:v>77.41804937272359</x:v>
      </x:c>
      <x:c r="L1438" s="133" t="n">
        <x:v>77.43035815804434</x:v>
      </x:c>
      <x:c r="M1438" s="133" t="n">
        <x:v>77.41741741741741</x:v>
      </x:c>
      <x:c r="N1438" s="133" t="n">
        <x:v>77.34375</x:v>
      </x:c>
      <x:c r="O1438" s="133" t="n">
        <x:v>78.18181818181819</x:v>
      </x:c>
      <x:c r="P1438" s="132"/>
    </x:row>
    <x:row r="1439">
      <x:c r="A1439" s="136" t="str">
        <x:v>01117030336</x:v>
      </x:c>
      <x:c r="B1439" s="132" t="str">
        <x:v>Shelby County</x:v>
      </x:c>
      <x:c r="C1439" s="132" t="n">
        <x:v>1</x:v>
      </x:c>
      <x:c r="D1439" s="134" t="n">
        <x:v>9126</x:v>
      </x:c>
      <x:c r="E1439" s="133" t="n">
        <x:v>1.2</x:v>
      </x:c>
      <x:c r="F1439" s="134" t="n">
        <x:v>8107</x:v>
      </x:c>
      <x:c r="G1439" s="134" t="n">
        <x:v>0</x:v>
      </x:c>
      <x:c r="H1439" s="134" t="n">
        <x:v>6810</x:v>
      </x:c>
      <x:c r="I1439" s="134" t="n">
        <x:v>6050</x:v>
      </x:c>
      <x:c r="J1439" s="133" t="n">
        <x:v>74.62195923734386</x:v>
      </x:c>
      <x:c r="K1439" s="133" t="n">
        <x:v>74.6268656716418</x:v>
      </x:c>
      <x:c r="L1439" s="133" t="n">
        <x:v>74.6243169398907</x:v>
      </x:c>
      <x:c r="M1439" s="133" t="n">
        <x:v>74.68030690537084</x:v>
      </x:c>
      <x:c r="N1439" s="133"/>
      <x:c r="O1439" s="133"/>
      <x:c r="P1439" s="132"/>
    </x:row>
    <x:row r="1440">
      <x:c r="A1440" s="136" t="str">
        <x:v>01081041001</x:v>
      </x:c>
      <x:c r="B1440" s="132" t="str">
        <x:v>Lee County</x:v>
      </x:c>
      <x:c r="C1440" s="132" t="n">
        <x:v>1</x:v>
      </x:c>
      <x:c r="D1440" s="134" t="n">
        <x:v>7376</x:v>
      </x:c>
      <x:c r="E1440" s="133" t="n">
        <x:v>2.3</x:v>
      </x:c>
      <x:c r="F1440" s="134" t="n">
        <x:v>8001</x:v>
      </x:c>
      <x:c r="G1440" s="134" t="n">
        <x:v>0</x:v>
      </x:c>
      <x:c r="H1440" s="134" t="n">
        <x:v>5607</x:v>
      </x:c>
      <x:c r="I1440" s="134" t="n">
        <x:v>6082</x:v>
      </x:c>
      <x:c r="J1440" s="133" t="n">
        <x:v>76.01681127982647</x:v>
      </x:c>
      <x:c r="K1440" s="133" t="n">
        <x:v>76.01549806274215</x:v>
      </x:c>
      <x:c r="L1440" s="133" t="n">
        <x:v>76.03116406966086</x:v>
      </x:c>
      <x:c r="M1440" s="133" t="n">
        <x:v>76.05042016806723</x:v>
      </x:c>
      <x:c r="N1440" s="133" t="n">
        <x:v>76.47058823529412</x:v>
      </x:c>
      <x:c r="O1440" s="133" t="n">
        <x:v>77.77777777777777</x:v>
      </x:c>
      <x:c r="P1440" s="132"/>
    </x:row>
  </x:sheetData>
  <x:mergeCells>
    <x:mergeCell ref="A1:P1"/>
    <x:mergeCell ref="A2:P2"/>
  </x:mergeCells>
  <x:pageMargins left="0.7" right="0.7" top="0.75" bottom="0.75" header="0.3" footer="0.3"/>
  <x:tableParts count="1">
    <x:tablePart xmlns:r="http://schemas.openxmlformats.org/officeDocument/2006/relationships" r:id="R85f3ecaf62f343d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10" hidden="0" customWidth="1"/>
    <x:col min="3" max="3" width="28" hidden="0" customWidth="1"/>
    <x:col min="4" max="4" width="13" hidden="0" customWidth="1"/>
    <x:col min="5" max="5" width="21" hidden="0" customWidth="1"/>
    <x:col min="6" max="6" width="19" hidden="0" customWidth="1"/>
    <x:col min="7" max="7" width="24" hidden="0" customWidth="1"/>
    <x:col min="8" max="8" width="22" hidden="0" customWidth="1"/>
    <x:col min="9" max="9" width="21" hidden="0" customWidth="1"/>
    <x:col min="10" max="10" width="20" hidden="0" customWidth="1"/>
    <x:col min="11" max="11" width="20" hidden="0" customWidth="1"/>
    <x:col min="12" max="12" width="15" hidden="0" customWidth="1"/>
    <x:col min="13" max="13" width="26" hidden="0" customWidth="1"/>
    <x:col min="14" max="14" width="24" hidden="0" customWidth="1"/>
    <x:col min="15" max="15" width="22" hidden="0" customWidth="1"/>
    <x:col min="16" max="16" width="28" hidden="0" customWidth="1"/>
  </x:cols>
  <x:sheetData>
    <x:row r="1" ht="34" customHeight="1">
      <x:c r="A1" s="3" t="str">
        <x:v>Alabama modeled county food insecurity, 2024</x:v>
      </x:c>
      <x:c r="B1" s="3"/>
      <x:c r="C1" s="3"/>
      <x:c r="D1" s="3"/>
      <x:c r="E1" s="3"/>
      <x:c r="F1" s="3"/>
      <x:c r="G1" s="3"/>
      <x:c r="H1" s="3"/>
      <x:c r="I1" s="3"/>
      <x:c r="J1" s="3"/>
      <x:c r="K1" s="3"/>
      <x:c r="L1" s="3"/>
      <x:c r="M1" s="3"/>
      <x:c r="N1" s="3"/>
      <x:c r="O1" s="3"/>
      <x:c r="P1" s="3"/>
    </x:row>
    <x:row r="2" ht="30" customHeight="1">
      <x:c r="A2" s="7" t="str">
        <x:v>Feeding America Map the Meal Gap 2026; selected fields only; rates are modeled individual estimates and remain separate from retailer proximity</x:v>
      </x:c>
      <x:c r="B2" s="7"/>
      <x:c r="C2" s="7"/>
      <x:c r="D2" s="7"/>
      <x:c r="E2" s="7"/>
      <x:c r="F2" s="7"/>
      <x:c r="G2" s="7"/>
      <x:c r="H2" s="7"/>
      <x:c r="I2" s="7"/>
      <x:c r="J2" s="7"/>
      <x:c r="K2" s="7"/>
      <x:c r="L2" s="7"/>
      <x:c r="M2" s="7"/>
      <x:c r="N2" s="7"/>
      <x:c r="O2" s="7"/>
      <x:c r="P2" s="7"/>
    </x:row>
    <x:row r="4" ht="34" customHeight="1">
      <x:c r="A4" s="16" t="str">
        <x:v>county_fips</x:v>
      </x:c>
      <x:c r="B4" s="131" t="str">
        <x:v>state_abbr</x:v>
      </x:c>
      <x:c r="C4" s="131" t="str">
        <x:v>county</x:v>
      </x:c>
      <x:c r="D4" s="131" t="str">
        <x:v>observation_year</x:v>
      </x:c>
      <x:c r="E4" s="131" t="str">
        <x:v>overall_food_insecurity_rate</x:v>
      </x:c>
      <x:c r="F4" s="131" t="str">
        <x:v>food_insecure_persons</x:v>
      </x:c>
      <x:c r="G4" s="131" t="str">
        <x:v>food_insecure_at_or_below_snap_threshold_rate</x:v>
      </x:c>
      <x:c r="H4" s="131" t="str">
        <x:v>food_insecure_above_snap_threshold_rate</x:v>
      </x:c>
      <x:c r="I4" s="131" t="str">
        <x:v>child_food_insecurity_rate</x:v>
      </x:c>
      <x:c r="J4" s="131" t="str">
        <x:v>food_insecure_children</x:v>
      </x:c>
      <x:c r="K4" s="131" t="str">
        <x:v>market_basket_data_imputed</x:v>
      </x:c>
      <x:c r="L4" s="131" t="str">
        <x:v>cost_per_meal_usd</x:v>
      </x:c>
      <x:c r="M4" s="131" t="str">
        <x:v>weekly_food_budget_shortfall_per_food_insecure_person_usd</x:v>
      </x:c>
      <x:c r="N4" s="131" t="str">
        <x:v>annual_food_budget_shortfall_usd</x:v>
      </x:c>
      <x:c r="O4" s="131" t="str">
        <x:v>rural_urban_continuum_code_2023</x:v>
      </x:c>
      <x:c r="P4" s="17" t="str">
        <x:v>source_id</x:v>
      </x:c>
    </x:row>
    <x:row r="5">
      <x:c r="A5" s="136" t="str">
        <x:v>01001</x:v>
      </x:c>
      <x:c r="B5" s="132" t="str">
        <x:v>AL</x:v>
      </x:c>
      <x:c r="C5" s="132" t="str">
        <x:v>Autauga County, Alabama</x:v>
      </x:c>
      <x:c r="D5" s="135" t="n">
        <x:v>2024</x:v>
      </x:c>
      <x:c r="E5" s="139" t="n">
        <x:v>0.156</x:v>
      </x:c>
      <x:c r="F5" s="134" t="n">
        <x:v>9350</x:v>
      </x:c>
      <x:c r="G5" s="139" t="n">
        <x:v>0.444</x:v>
      </x:c>
      <x:c r="H5" s="139" t="n">
        <x:v>0.556</x:v>
      </x:c>
      <x:c r="I5" s="139" t="n">
        <x:v>0.203</x:v>
      </x:c>
      <x:c r="J5" s="134" t="n">
        <x:v>2850</x:v>
      </x:c>
      <x:c r="K5" s="138" t="b">
        <x:v>0</x:v>
      </x:c>
      <x:c r="L5" s="140" t="n">
        <x:v>3.68</x:v>
      </x:c>
      <x:c r="M5" s="140" t="n">
        <x:v>23.02</x:v>
      </x:c>
      <x:c r="N5" s="141" t="n">
        <x:v>6528000</x:v>
      </x:c>
      <x:c r="O5" s="135" t="n">
        <x:v>2</x:v>
      </x:c>
      <x:c r="P5" s="132" t="str">
        <x:v>FEEDING_AMERICA_MMG_2026</x:v>
      </x:c>
    </x:row>
    <x:row r="6">
      <x:c r="A6" s="136" t="str">
        <x:v>01003</x:v>
      </x:c>
      <x:c r="B6" s="132" t="str">
        <x:v>AL</x:v>
      </x:c>
      <x:c r="C6" s="132" t="str">
        <x:v>Baldwin County, Alabama</x:v>
      </x:c>
      <x:c r="D6" s="135" t="n">
        <x:v>2024</x:v>
      </x:c>
      <x:c r="E6" s="139" t="n">
        <x:v>0.154</x:v>
      </x:c>
      <x:c r="F6" s="134" t="n">
        <x:v>37940</x:v>
      </x:c>
      <x:c r="G6" s="139" t="n">
        <x:v>0.455</x:v>
      </x:c>
      <x:c r="H6" s="139" t="n">
        <x:v>0.545</x:v>
      </x:c>
      <x:c r="I6" s="139" t="n">
        <x:v>0.196</x:v>
      </x:c>
      <x:c r="J6" s="134" t="n">
        <x:v>10210</x:v>
      </x:c>
      <x:c r="K6" s="138" t="b">
        <x:v>0</x:v>
      </x:c>
      <x:c r="L6" s="140" t="n">
        <x:v>4.15</x:v>
      </x:c>
      <x:c r="M6" s="140" t="n">
        <x:v>25.95</x:v>
      </x:c>
      <x:c r="N6" s="141" t="n">
        <x:v>29861000</x:v>
      </x:c>
      <x:c r="O6" s="135" t="n">
        <x:v>3</x:v>
      </x:c>
      <x:c r="P6" s="132" t="str">
        <x:v>FEEDING_AMERICA_MMG_2026</x:v>
      </x:c>
    </x:row>
    <x:row r="7">
      <x:c r="A7" s="136" t="str">
        <x:v>01005</x:v>
      </x:c>
      <x:c r="B7" s="132" t="str">
        <x:v>AL</x:v>
      </x:c>
      <x:c r="C7" s="132" t="str">
        <x:v>Barbour County, Alabama</x:v>
      </x:c>
      <x:c r="D7" s="135" t="n">
        <x:v>2024</x:v>
      </x:c>
      <x:c r="E7" s="139" t="n">
        <x:v>0.193</x:v>
      </x:c>
      <x:c r="F7" s="134" t="n">
        <x:v>4750</x:v>
      </x:c>
      <x:c r="G7" s="139" t="n">
        <x:v>0.419</x:v>
      </x:c>
      <x:c r="H7" s="139" t="n">
        <x:v>0.581</x:v>
      </x:c>
      <x:c r="I7" s="139" t="n">
        <x:v>0.308</x:v>
      </x:c>
      <x:c r="J7" s="134" t="n">
        <x:v>1580</x:v>
      </x:c>
      <x:c r="K7" s="138" t="b">
        <x:v>0</x:v>
      </x:c>
      <x:c r="L7" s="140" t="n">
        <x:v>3.53</x:v>
      </x:c>
      <x:c r="M7" s="140" t="n">
        <x:v>22.08</x:v>
      </x:c>
      <x:c r="N7" s="141" t="n">
        <x:v>3181000</x:v>
      </x:c>
      <x:c r="O7" s="135" t="n">
        <x:v>6</x:v>
      </x:c>
      <x:c r="P7" s="132" t="str">
        <x:v>FEEDING_AMERICA_MMG_2026</x:v>
      </x:c>
    </x:row>
    <x:row r="8">
      <x:c r="A8" s="136" t="str">
        <x:v>01007</x:v>
      </x:c>
      <x:c r="B8" s="132" t="str">
        <x:v>AL</x:v>
      </x:c>
      <x:c r="C8" s="132" t="str">
        <x:v>Bibb County, Alabama</x:v>
      </x:c>
      <x:c r="D8" s="135" t="n">
        <x:v>2024</x:v>
      </x:c>
      <x:c r="E8" s="139" t="n">
        <x:v>0.202</x:v>
      </x:c>
      <x:c r="F8" s="134" t="n">
        <x:v>4470</x:v>
      </x:c>
      <x:c r="G8" s="139" t="n">
        <x:v>0.6</x:v>
      </x:c>
      <x:c r="H8" s="139" t="n">
        <x:v>0.4</x:v>
      </x:c>
      <x:c r="I8" s="139" t="n">
        <x:v>0.279</x:v>
      </x:c>
      <x:c r="J8" s="134" t="n">
        <x:v>1240</x:v>
      </x:c>
      <x:c r="K8" s="138" t="b">
        <x:v>0</x:v>
      </x:c>
      <x:c r="L8" s="140" t="n">
        <x:v>3.43</x:v>
      </x:c>
      <x:c r="M8" s="140" t="n">
        <x:v>21.49</x:v>
      </x:c>
      <x:c r="N8" s="141" t="n">
        <x:v>2914000</x:v>
      </x:c>
      <x:c r="O8" s="135" t="n">
        <x:v>1</x:v>
      </x:c>
      <x:c r="P8" s="132" t="str">
        <x:v>FEEDING_AMERICA_MMG_2026</x:v>
      </x:c>
    </x:row>
    <x:row r="9">
      <x:c r="A9" s="136" t="str">
        <x:v>01009</x:v>
      </x:c>
      <x:c r="B9" s="132" t="str">
        <x:v>AL</x:v>
      </x:c>
      <x:c r="C9" s="132" t="str">
        <x:v>Blount County, Alabama</x:v>
      </x:c>
      <x:c r="D9" s="135" t="n">
        <x:v>2024</x:v>
      </x:c>
      <x:c r="E9" s="139" t="n">
        <x:v>0.184</x:v>
      </x:c>
      <x:c r="F9" s="134" t="n">
        <x:v>10960</x:v>
      </x:c>
      <x:c r="G9" s="139" t="n">
        <x:v>0.59</x:v>
      </x:c>
      <x:c r="H9" s="139" t="n">
        <x:v>0.41</x:v>
      </x:c>
      <x:c r="I9" s="139" t="n">
        <x:v>0.213</x:v>
      </x:c>
      <x:c r="J9" s="134" t="n">
        <x:v>2930</x:v>
      </x:c>
      <x:c r="K9" s="138" t="b">
        <x:v>0</x:v>
      </x:c>
      <x:c r="L9" s="140" t="n">
        <x:v>3.44</x:v>
      </x:c>
      <x:c r="M9" s="140" t="n">
        <x:v>21.56</x:v>
      </x:c>
      <x:c r="N9" s="141" t="n">
        <x:v>7167000</x:v>
      </x:c>
      <x:c r="O9" s="135" t="n">
        <x:v>1</x:v>
      </x:c>
      <x:c r="P9" s="132" t="str">
        <x:v>FEEDING_AMERICA_MMG_2026</x:v>
      </x:c>
    </x:row>
    <x:row r="10">
      <x:c r="A10" s="136" t="str">
        <x:v>01011</x:v>
      </x:c>
      <x:c r="B10" s="132" t="str">
        <x:v>AL</x:v>
      </x:c>
      <x:c r="C10" s="132" t="str">
        <x:v>Bullock County, Alabama</x:v>
      </x:c>
      <x:c r="D10" s="135" t="n">
        <x:v>2024</x:v>
      </x:c>
      <x:c r="E10" s="139" t="n">
        <x:v>0.198</x:v>
      </x:c>
      <x:c r="F10" s="134" t="n">
        <x:v>1990</x:v>
      </x:c>
      <x:c r="G10" s="139" t="n">
        <x:v>0.208</x:v>
      </x:c>
      <x:c r="H10" s="139" t="n">
        <x:v>0.792</x:v>
      </x:c>
      <x:c r="I10" s="139" t="n">
        <x:v>0.326</x:v>
      </x:c>
      <x:c r="J10" s="134" t="n">
        <x:v>670</x:v>
      </x:c>
      <x:c r="K10" s="138" t="b">
        <x:v>1</x:v>
      </x:c>
      <x:c r="L10" s="140" t="n">
        <x:v>3.83</x:v>
      </x:c>
      <x:c r="M10" s="140" t="n">
        <x:v>23.96</x:v>
      </x:c>
      <x:c r="N10" s="141" t="n">
        <x:v>1446000</x:v>
      </x:c>
      <x:c r="O10" s="135" t="n">
        <x:v>8</x:v>
      </x:c>
      <x:c r="P10" s="132" t="str">
        <x:v>FEEDING_AMERICA_MMG_2026</x:v>
      </x:c>
    </x:row>
    <x:row r="11">
      <x:c r="A11" s="136" t="str">
        <x:v>01013</x:v>
      </x:c>
      <x:c r="B11" s="132" t="str">
        <x:v>AL</x:v>
      </x:c>
      <x:c r="C11" s="132" t="str">
        <x:v>Butler County, Alabama</x:v>
      </x:c>
      <x:c r="D11" s="135" t="n">
        <x:v>2024</x:v>
      </x:c>
      <x:c r="E11" s="139" t="n">
        <x:v>0.192</x:v>
      </x:c>
      <x:c r="F11" s="134" t="n">
        <x:v>3580</x:v>
      </x:c>
      <x:c r="G11" s="139" t="n">
        <x:v>0.461</x:v>
      </x:c>
      <x:c r="H11" s="139" t="n">
        <x:v>0.539</x:v>
      </x:c>
      <x:c r="I11" s="139" t="n">
        <x:v>0.297</x:v>
      </x:c>
      <x:c r="J11" s="134" t="n">
        <x:v>1220</x:v>
      </x:c>
      <x:c r="K11" s="138" t="b">
        <x:v>1</x:v>
      </x:c>
      <x:c r="L11" s="140" t="n">
        <x:v>3.46</x:v>
      </x:c>
      <x:c r="M11" s="140" t="n">
        <x:v>21.66</x:v>
      </x:c>
      <x:c r="N11" s="141" t="n">
        <x:v>2352000</x:v>
      </x:c>
      <x:c r="O11" s="135" t="n">
        <x:v>6</x:v>
      </x:c>
      <x:c r="P11" s="132" t="str">
        <x:v>FEEDING_AMERICA_MMG_2026</x:v>
      </x:c>
    </x:row>
    <x:row r="12">
      <x:c r="A12" s="136" t="str">
        <x:v>01015</x:v>
      </x:c>
      <x:c r="B12" s="132" t="str">
        <x:v>AL</x:v>
      </x:c>
      <x:c r="C12" s="132" t="str">
        <x:v>Calhoun County, Alabama</x:v>
      </x:c>
      <x:c r="D12" s="135" t="n">
        <x:v>2024</x:v>
      </x:c>
      <x:c r="E12" s="139" t="n">
        <x:v>0.197</x:v>
      </x:c>
      <x:c r="F12" s="134" t="n">
        <x:v>22890</x:v>
      </x:c>
      <x:c r="G12" s="139" t="n">
        <x:v>0.567</x:v>
      </x:c>
      <x:c r="H12" s="139" t="n">
        <x:v>0.433</x:v>
      </x:c>
      <x:c r="I12" s="139" t="n">
        <x:v>0.271</x:v>
      </x:c>
      <x:c r="J12" s="134" t="n">
        <x:v>6740</x:v>
      </x:c>
      <x:c r="K12" s="138" t="b">
        <x:v>0</x:v>
      </x:c>
      <x:c r="L12" s="140" t="n">
        <x:v>3.64</x:v>
      </x:c>
      <x:c r="M12" s="140" t="n">
        <x:v>22.79</x:v>
      </x:c>
      <x:c r="N12" s="141" t="n">
        <x:v>15826000</x:v>
      </x:c>
      <x:c r="O12" s="135" t="n">
        <x:v>3</x:v>
      </x:c>
      <x:c r="P12" s="132" t="str">
        <x:v>FEEDING_AMERICA_MMG_2026</x:v>
      </x:c>
    </x:row>
    <x:row r="13">
      <x:c r="A13" s="136" t="str">
        <x:v>01017</x:v>
      </x:c>
      <x:c r="B13" s="132" t="str">
        <x:v>AL</x:v>
      </x:c>
      <x:c r="C13" s="132" t="str">
        <x:v>Chambers County, Alabama</x:v>
      </x:c>
      <x:c r="D13" s="135" t="n">
        <x:v>2024</x:v>
      </x:c>
      <x:c r="E13" s="139" t="n">
        <x:v>0.173</x:v>
      </x:c>
      <x:c r="F13" s="134" t="n">
        <x:v>5930</x:v>
      </x:c>
      <x:c r="G13" s="139" t="n">
        <x:v>0.464</x:v>
      </x:c>
      <x:c r="H13" s="139" t="n">
        <x:v>0.536</x:v>
      </x:c>
      <x:c r="I13" s="139" t="n">
        <x:v>0.28</x:v>
      </x:c>
      <x:c r="J13" s="134" t="n">
        <x:v>2000</x:v>
      </x:c>
      <x:c r="K13" s="138" t="b">
        <x:v>0</x:v>
      </x:c>
      <x:c r="L13" s="140" t="n">
        <x:v>3.41</x:v>
      </x:c>
      <x:c r="M13" s="140" t="n">
        <x:v>21.36</x:v>
      </x:c>
      <x:c r="N13" s="141" t="n">
        <x:v>3841000</x:v>
      </x:c>
      <x:c r="O13" s="135" t="n">
        <x:v>6</x:v>
      </x:c>
      <x:c r="P13" s="132" t="str">
        <x:v>FEEDING_AMERICA_MMG_2026</x:v>
      </x:c>
    </x:row>
    <x:row r="14">
      <x:c r="A14" s="136" t="str">
        <x:v>01019</x:v>
      </x:c>
      <x:c r="B14" s="132" t="str">
        <x:v>AL</x:v>
      </x:c>
      <x:c r="C14" s="132" t="str">
        <x:v>Cherokee County, Alabama</x:v>
      </x:c>
      <x:c r="D14" s="135" t="n">
        <x:v>2024</x:v>
      </x:c>
      <x:c r="E14" s="139" t="n">
        <x:v>0.192</x:v>
      </x:c>
      <x:c r="F14" s="134" t="n">
        <x:v>4890</x:v>
      </x:c>
      <x:c r="G14" s="139" t="n">
        <x:v>0.633</x:v>
      </x:c>
      <x:c r="H14" s="139" t="n">
        <x:v>0.367</x:v>
      </x:c>
      <x:c r="I14" s="139" t="n">
        <x:v>0.239</x:v>
      </x:c>
      <x:c r="J14" s="134" t="n">
        <x:v>1130</x:v>
      </x:c>
      <x:c r="K14" s="138" t="b">
        <x:v>0</x:v>
      </x:c>
      <x:c r="L14" s="140" t="n">
        <x:v>3.46</x:v>
      </x:c>
      <x:c r="M14" s="140" t="n">
        <x:v>21.68</x:v>
      </x:c>
      <x:c r="N14" s="141" t="n">
        <x:v>3216000</x:v>
      </x:c>
      <x:c r="O14" s="135" t="n">
        <x:v>8</x:v>
      </x:c>
      <x:c r="P14" s="132" t="str">
        <x:v>FEEDING_AMERICA_MMG_2026</x:v>
      </x:c>
    </x:row>
    <x:row r="15">
      <x:c r="A15" s="136" t="str">
        <x:v>01021</x:v>
      </x:c>
      <x:c r="B15" s="132" t="str">
        <x:v>AL</x:v>
      </x:c>
      <x:c r="C15" s="132" t="str">
        <x:v>Chilton County, Alabama</x:v>
      </x:c>
      <x:c r="D15" s="135" t="n">
        <x:v>2024</x:v>
      </x:c>
      <x:c r="E15" s="139" t="n">
        <x:v>0.185</x:v>
      </x:c>
      <x:c r="F15" s="134" t="n">
        <x:v>8510</x:v>
      </x:c>
      <x:c r="G15" s="139" t="n">
        <x:v>0.608</x:v>
      </x:c>
      <x:c r="H15" s="139" t="n">
        <x:v>0.392</x:v>
      </x:c>
      <x:c r="I15" s="139" t="n">
        <x:v>0.217</x:v>
      </x:c>
      <x:c r="J15" s="134" t="n">
        <x:v>2410</x:v>
      </x:c>
      <x:c r="K15" s="138" t="b">
        <x:v>0</x:v>
      </x:c>
      <x:c r="L15" s="140" t="n">
        <x:v>3.6</x:v>
      </x:c>
      <x:c r="M15" s="140" t="n">
        <x:v>22.56</x:v>
      </x:c>
      <x:c r="N15" s="141" t="n">
        <x:v>5824000</x:v>
      </x:c>
      <x:c r="O15" s="135" t="n">
        <x:v>1</x:v>
      </x:c>
      <x:c r="P15" s="132" t="str">
        <x:v>FEEDING_AMERICA_MMG_2026</x:v>
      </x:c>
    </x:row>
    <x:row r="16">
      <x:c r="A16" s="136" t="str">
        <x:v>01023</x:v>
      </x:c>
      <x:c r="B16" s="132" t="str">
        <x:v>AL</x:v>
      </x:c>
      <x:c r="C16" s="132" t="str">
        <x:v>Choctaw County, Alabama</x:v>
      </x:c>
      <x:c r="D16" s="135" t="n">
        <x:v>2024</x:v>
      </x:c>
      <x:c r="E16" s="139" t="n">
        <x:v>0.177</x:v>
      </x:c>
      <x:c r="F16" s="134" t="n">
        <x:v>2200</x:v>
      </x:c>
      <x:c r="G16" s="139" t="n">
        <x:v>0.469</x:v>
      </x:c>
      <x:c r="H16" s="139" t="n">
        <x:v>0.531</x:v>
      </x:c>
      <x:c r="I16" s="139" t="n">
        <x:v>0.258</x:v>
      </x:c>
      <x:c r="J16" s="134" t="n">
        <x:v>630</x:v>
      </x:c>
      <x:c r="K16" s="138" t="b">
        <x:v>1</x:v>
      </x:c>
      <x:c r="L16" s="140" t="n">
        <x:v>3.49</x:v>
      </x:c>
      <x:c r="M16" s="140" t="n">
        <x:v>21.83</x:v>
      </x:c>
      <x:c r="N16" s="141" t="n">
        <x:v>1457000</x:v>
      </x:c>
      <x:c r="O16" s="135" t="n">
        <x:v>9</x:v>
      </x:c>
      <x:c r="P16" s="132" t="str">
        <x:v>FEEDING_AMERICA_MMG_2026</x:v>
      </x:c>
    </x:row>
    <x:row r="17">
      <x:c r="A17" s="136" t="str">
        <x:v>01025</x:v>
      </x:c>
      <x:c r="B17" s="132" t="str">
        <x:v>AL</x:v>
      </x:c>
      <x:c r="C17" s="132" t="str">
        <x:v>Clarke County, Alabama</x:v>
      </x:c>
      <x:c r="D17" s="135" t="n">
        <x:v>2024</x:v>
      </x:c>
      <x:c r="E17" s="139" t="n">
        <x:v>0.19</x:v>
      </x:c>
      <x:c r="F17" s="134" t="n">
        <x:v>4290</x:v>
      </x:c>
      <x:c r="G17" s="139" t="n">
        <x:v>0.427</x:v>
      </x:c>
      <x:c r="H17" s="139" t="n">
        <x:v>0.573</x:v>
      </x:c>
      <x:c r="I17" s="139" t="n">
        <x:v>0.278</x:v>
      </x:c>
      <x:c r="J17" s="134" t="n">
        <x:v>1350</x:v>
      </x:c>
      <x:c r="K17" s="138" t="b">
        <x:v>0</x:v>
      </x:c>
      <x:c r="L17" s="140" t="n">
        <x:v>3.42</x:v>
      </x:c>
      <x:c r="M17" s="140" t="n">
        <x:v>21.42</x:v>
      </x:c>
      <x:c r="N17" s="141" t="n">
        <x:v>2787000</x:v>
      </x:c>
      <x:c r="O17" s="135" t="n">
        <x:v>9</x:v>
      </x:c>
      <x:c r="P17" s="132" t="str">
        <x:v>FEEDING_AMERICA_MMG_2026</x:v>
      </x:c>
    </x:row>
    <x:row r="18">
      <x:c r="A18" s="136" t="str">
        <x:v>01027</x:v>
      </x:c>
      <x:c r="B18" s="132" t="str">
        <x:v>AL</x:v>
      </x:c>
      <x:c r="C18" s="132" t="str">
        <x:v>Clay County, Alabama</x:v>
      </x:c>
      <x:c r="D18" s="135" t="n">
        <x:v>2024</x:v>
      </x:c>
      <x:c r="E18" s="139" t="n">
        <x:v>0.195</x:v>
      </x:c>
      <x:c r="F18" s="134" t="n">
        <x:v>2770</x:v>
      </x:c>
      <x:c r="G18" s="139" t="n">
        <x:v>0.673</x:v>
      </x:c>
      <x:c r="H18" s="139" t="n">
        <x:v>0.327</x:v>
      </x:c>
      <x:c r="I18" s="139" t="n">
        <x:v>0.27</x:v>
      </x:c>
      <x:c r="J18" s="134" t="n">
        <x:v>800</x:v>
      </x:c>
      <x:c r="K18" s="138" t="b">
        <x:v>1</x:v>
      </x:c>
      <x:c r="L18" s="140" t="n">
        <x:v>3.49</x:v>
      </x:c>
      <x:c r="M18" s="140" t="n">
        <x:v>21.84</x:v>
      </x:c>
      <x:c r="N18" s="141" t="n">
        <x:v>1835000</x:v>
      </x:c>
      <x:c r="O18" s="135" t="n">
        <x:v>9</x:v>
      </x:c>
      <x:c r="P18" s="132" t="str">
        <x:v>FEEDING_AMERICA_MMG_2026</x:v>
      </x:c>
    </x:row>
    <x:row r="19">
      <x:c r="A19" s="136" t="str">
        <x:v>01029</x:v>
      </x:c>
      <x:c r="B19" s="132" t="str">
        <x:v>AL</x:v>
      </x:c>
      <x:c r="C19" s="132" t="str">
        <x:v>Cleburne County, Alabama</x:v>
      </x:c>
      <x:c r="D19" s="135" t="n">
        <x:v>2024</x:v>
      </x:c>
      <x:c r="E19" s="139" t="n">
        <x:v>0.189</x:v>
      </x:c>
      <x:c r="F19" s="134" t="n">
        <x:v>2920</x:v>
      </x:c>
      <x:c r="G19" s="139" t="n">
        <x:v>0.671</x:v>
      </x:c>
      <x:c r="H19" s="139" t="n">
        <x:v>0.329</x:v>
      </x:c>
      <x:c r="I19" s="139" t="n">
        <x:v>0.243</x:v>
      </x:c>
      <x:c r="J19" s="134" t="n">
        <x:v>820</x:v>
      </x:c>
      <x:c r="K19" s="138" t="b">
        <x:v>1</x:v>
      </x:c>
      <x:c r="L19" s="140" t="n">
        <x:v>3.68</x:v>
      </x:c>
      <x:c r="M19" s="140" t="n">
        <x:v>23.01</x:v>
      </x:c>
      <x:c r="N19" s="141" t="n">
        <x:v>2038000</x:v>
      </x:c>
      <x:c r="O19" s="135" t="n">
        <x:v>8</x:v>
      </x:c>
      <x:c r="P19" s="132" t="str">
        <x:v>FEEDING_AMERICA_MMG_2026</x:v>
      </x:c>
    </x:row>
    <x:row r="20">
      <x:c r="A20" s="136" t="str">
        <x:v>01031</x:v>
      </x:c>
      <x:c r="B20" s="132" t="str">
        <x:v>AL</x:v>
      </x:c>
      <x:c r="C20" s="132" t="str">
        <x:v>Coffee County, Alabama</x:v>
      </x:c>
      <x:c r="D20" s="135" t="n">
        <x:v>2024</x:v>
      </x:c>
      <x:c r="E20" s="139" t="n">
        <x:v>0.192</x:v>
      </x:c>
      <x:c r="F20" s="134" t="n">
        <x:v>10540</x:v>
      </x:c>
      <x:c r="G20" s="139" t="n">
        <x:v>0.552</x:v>
      </x:c>
      <x:c r="H20" s="139" t="n">
        <x:v>0.448</x:v>
      </x:c>
      <x:c r="I20" s="139" t="n">
        <x:v>0.255</x:v>
      </x:c>
      <x:c r="J20" s="134" t="n">
        <x:v>3370</x:v>
      </x:c>
      <x:c r="K20" s="138" t="b">
        <x:v>0</x:v>
      </x:c>
      <x:c r="L20" s="140" t="n">
        <x:v>3.89</x:v>
      </x:c>
      <x:c r="M20" s="140" t="n">
        <x:v>24.33</x:v>
      </x:c>
      <x:c r="N20" s="141" t="n">
        <x:v>7778000</x:v>
      </x:c>
      <x:c r="O20" s="135" t="n">
        <x:v>4</x:v>
      </x:c>
      <x:c r="P20" s="132" t="str">
        <x:v>FEEDING_AMERICA_MMG_2026</x:v>
      </x:c>
    </x:row>
    <x:row r="21">
      <x:c r="A21" s="136" t="str">
        <x:v>01033</x:v>
      </x:c>
      <x:c r="B21" s="132" t="str">
        <x:v>AL</x:v>
      </x:c>
      <x:c r="C21" s="132" t="str">
        <x:v>Colbert County, Alabama</x:v>
      </x:c>
      <x:c r="D21" s="135" t="n">
        <x:v>2024</x:v>
      </x:c>
      <x:c r="E21" s="139" t="n">
        <x:v>0.194</x:v>
      </x:c>
      <x:c r="F21" s="134" t="n">
        <x:v>11250</x:v>
      </x:c>
      <x:c r="G21" s="139" t="n">
        <x:v>0.526</x:v>
      </x:c>
      <x:c r="H21" s="139" t="n">
        <x:v>0.474</x:v>
      </x:c>
      <x:c r="I21" s="139" t="n">
        <x:v>0.267</x:v>
      </x:c>
      <x:c r="J21" s="134" t="n">
        <x:v>3300</x:v>
      </x:c>
      <x:c r="K21" s="138" t="b">
        <x:v>0</x:v>
      </x:c>
      <x:c r="L21" s="140" t="n">
        <x:v>3.7</x:v>
      </x:c>
      <x:c r="M21" s="140" t="n">
        <x:v>23.18</x:v>
      </x:c>
      <x:c r="N21" s="141" t="n">
        <x:v>7911000</x:v>
      </x:c>
      <x:c r="O21" s="135" t="n">
        <x:v>3</x:v>
      </x:c>
      <x:c r="P21" s="132" t="str">
        <x:v>FEEDING_AMERICA_MMG_2026</x:v>
      </x:c>
    </x:row>
    <x:row r="22">
      <x:c r="A22" s="136" t="str">
        <x:v>01035</x:v>
      </x:c>
      <x:c r="B22" s="132" t="str">
        <x:v>AL</x:v>
      </x:c>
      <x:c r="C22" s="132" t="str">
        <x:v>Conecuh County, Alabama</x:v>
      </x:c>
      <x:c r="D22" s="135" t="n">
        <x:v>2024</x:v>
      </x:c>
      <x:c r="E22" s="139" t="n">
        <x:v>0.196</x:v>
      </x:c>
      <x:c r="F22" s="134" t="n">
        <x:v>2210</x:v>
      </x:c>
      <x:c r="G22" s="139" t="n">
        <x:v>0.511</x:v>
      </x:c>
      <x:c r="H22" s="139" t="n">
        <x:v>0.489</x:v>
      </x:c>
      <x:c r="I22" s="139" t="n">
        <x:v>0.309</x:v>
      </x:c>
      <x:c r="J22" s="134" t="n">
        <x:v>700</x:v>
      </x:c>
      <x:c r="K22" s="138" t="b">
        <x:v>1</x:v>
      </x:c>
      <x:c r="L22" s="140" t="n">
        <x:v>3.43</x:v>
      </x:c>
      <x:c r="M22" s="140" t="n">
        <x:v>21.46</x:v>
      </x:c>
      <x:c r="N22" s="141" t="n">
        <x:v>1439000</x:v>
      </x:c>
      <x:c r="O22" s="135" t="n">
        <x:v>9</x:v>
      </x:c>
      <x:c r="P22" s="132" t="str">
        <x:v>FEEDING_AMERICA_MMG_2026</x:v>
      </x:c>
    </x:row>
    <x:row r="23">
      <x:c r="A23" s="136" t="str">
        <x:v>01037</x:v>
      </x:c>
      <x:c r="B23" s="132" t="str">
        <x:v>AL</x:v>
      </x:c>
      <x:c r="C23" s="132" t="str">
        <x:v>Coosa County, Alabama</x:v>
      </x:c>
      <x:c r="D23" s="135" t="n">
        <x:v>2024</x:v>
      </x:c>
      <x:c r="E23" s="139" t="n">
        <x:v>0.18</x:v>
      </x:c>
      <x:c r="F23" s="134" t="n">
        <x:v>1860</x:v>
      </x:c>
      <x:c r="G23" s="139" t="n">
        <x:v>0.515</x:v>
      </x:c>
      <x:c r="H23" s="139" t="n">
        <x:v>0.485</x:v>
      </x:c>
      <x:c r="I23" s="139" t="n">
        <x:v>0.301</x:v>
      </x:c>
      <x:c r="J23" s="134" t="n">
        <x:v>540</x:v>
      </x:c>
      <x:c r="K23" s="138" t="b">
        <x:v>1</x:v>
      </x:c>
      <x:c r="L23" s="140" t="n">
        <x:v>3.74</x:v>
      </x:c>
      <x:c r="M23" s="140" t="n">
        <x:v>23.38</x:v>
      </x:c>
      <x:c r="N23" s="141" t="n">
        <x:v>1319000</x:v>
      </x:c>
      <x:c r="O23" s="135" t="n">
        <x:v>8</x:v>
      </x:c>
      <x:c r="P23" s="132" t="str">
        <x:v>FEEDING_AMERICA_MMG_2026</x:v>
      </x:c>
    </x:row>
    <x:row r="24">
      <x:c r="A24" s="136" t="str">
        <x:v>01039</x:v>
      </x:c>
      <x:c r="B24" s="132" t="str">
        <x:v>AL</x:v>
      </x:c>
      <x:c r="C24" s="132" t="str">
        <x:v>Covington County, Alabama</x:v>
      </x:c>
      <x:c r="D24" s="135" t="n">
        <x:v>2024</x:v>
      </x:c>
      <x:c r="E24" s="139" t="n">
        <x:v>0.205</x:v>
      </x:c>
      <x:c r="F24" s="134" t="n">
        <x:v>7700</x:v>
      </x:c>
      <x:c r="G24" s="139" t="n">
        <x:v>0.707</x:v>
      </x:c>
      <x:c r="H24" s="139" t="n">
        <x:v>0.293</x:v>
      </x:c>
      <x:c r="I24" s="139" t="n">
        <x:v>0.263</x:v>
      </x:c>
      <x:c r="J24" s="134" t="n">
        <x:v>2200</x:v>
      </x:c>
      <x:c r="K24" s="138" t="b">
        <x:v>0</x:v>
      </x:c>
      <x:c r="L24" s="140" t="n">
        <x:v>3.49</x:v>
      </x:c>
      <x:c r="M24" s="140" t="n">
        <x:v>21.87</x:v>
      </x:c>
      <x:c r="N24" s="141" t="n">
        <x:v>5107000</x:v>
      </x:c>
      <x:c r="O24" s="135" t="n">
        <x:v>6</x:v>
      </x:c>
      <x:c r="P24" s="132" t="str">
        <x:v>FEEDING_AMERICA_MMG_2026</x:v>
      </x:c>
    </x:row>
    <x:row r="25">
      <x:c r="A25" s="136" t="str">
        <x:v>01041</x:v>
      </x:c>
      <x:c r="B25" s="132" t="str">
        <x:v>AL</x:v>
      </x:c>
      <x:c r="C25" s="132" t="str">
        <x:v>Crenshaw County, Alabama</x:v>
      </x:c>
      <x:c r="D25" s="135" t="n">
        <x:v>2024</x:v>
      </x:c>
      <x:c r="E25" s="139" t="n">
        <x:v>0.184</x:v>
      </x:c>
      <x:c r="F25" s="134" t="n">
        <x:v>2410</x:v>
      </x:c>
      <x:c r="G25" s="139" t="n">
        <x:v>0.551</x:v>
      </x:c>
      <x:c r="H25" s="139" t="n">
        <x:v>0.449</x:v>
      </x:c>
      <x:c r="I25" s="139" t="n">
        <x:v>0.229</x:v>
      </x:c>
      <x:c r="J25" s="134" t="n">
        <x:v>680</x:v>
      </x:c>
      <x:c r="K25" s="138" t="b">
        <x:v>1</x:v>
      </x:c>
      <x:c r="L25" s="140" t="n">
        <x:v>3.86</x:v>
      </x:c>
      <x:c r="M25" s="140" t="n">
        <x:v>24.19</x:v>
      </x:c>
      <x:c r="N25" s="141" t="n">
        <x:v>1768000</x:v>
      </x:c>
      <x:c r="O25" s="135" t="n">
        <x:v>8</x:v>
      </x:c>
      <x:c r="P25" s="132" t="str">
        <x:v>FEEDING_AMERICA_MMG_2026</x:v>
      </x:c>
    </x:row>
    <x:row r="26">
      <x:c r="A26" s="136" t="str">
        <x:v>01043</x:v>
      </x:c>
      <x:c r="B26" s="132" t="str">
        <x:v>AL</x:v>
      </x:c>
      <x:c r="C26" s="132" t="str">
        <x:v>Cullman County, Alabama</x:v>
      </x:c>
      <x:c r="D26" s="135" t="n">
        <x:v>2024</x:v>
      </x:c>
      <x:c r="E26" s="139" t="n">
        <x:v>0.195</x:v>
      </x:c>
      <x:c r="F26" s="134" t="n">
        <x:v>17620</x:v>
      </x:c>
      <x:c r="G26" s="139" t="n">
        <x:v>0.637</x:v>
      </x:c>
      <x:c r="H26" s="139" t="n">
        <x:v>0.363</x:v>
      </x:c>
      <x:c r="I26" s="139" t="n">
        <x:v>0.247</x:v>
      </x:c>
      <x:c r="J26" s="134" t="n">
        <x:v>5010</x:v>
      </x:c>
      <x:c r="K26" s="138" t="b">
        <x:v>0</x:v>
      </x:c>
      <x:c r="L26" s="140" t="n">
        <x:v>3.81</x:v>
      </x:c>
      <x:c r="M26" s="140" t="n">
        <x:v>23.82</x:v>
      </x:c>
      <x:c r="N26" s="141" t="n">
        <x:v>12733000</x:v>
      </x:c>
      <x:c r="O26" s="135" t="n">
        <x:v>4</x:v>
      </x:c>
      <x:c r="P26" s="132" t="str">
        <x:v>FEEDING_AMERICA_MMG_2026</x:v>
      </x:c>
    </x:row>
    <x:row r="27">
      <x:c r="A27" s="136" t="str">
        <x:v>01045</x:v>
      </x:c>
      <x:c r="B27" s="132" t="str">
        <x:v>AL</x:v>
      </x:c>
      <x:c r="C27" s="132" t="str">
        <x:v>Dale County, Alabama</x:v>
      </x:c>
      <x:c r="D27" s="135" t="n">
        <x:v>2024</x:v>
      </x:c>
      <x:c r="E27" s="139" t="n">
        <x:v>0.213</x:v>
      </x:c>
      <x:c r="F27" s="134" t="n">
        <x:v>10590</x:v>
      </x:c>
      <x:c r="G27" s="139" t="n">
        <x:v>0.585</x:v>
      </x:c>
      <x:c r="H27" s="139" t="n">
        <x:v>0.415</x:v>
      </x:c>
      <x:c r="I27" s="139" t="n">
        <x:v>0.323</x:v>
      </x:c>
      <x:c r="J27" s="134" t="n">
        <x:v>3740</x:v>
      </x:c>
      <x:c r="K27" s="138" t="b">
        <x:v>0</x:v>
      </x:c>
      <x:c r="L27" s="140" t="n">
        <x:v>3.53</x:v>
      </x:c>
      <x:c r="M27" s="140" t="n">
        <x:v>22.09</x:v>
      </x:c>
      <x:c r="N27" s="141" t="n">
        <x:v>7095000</x:v>
      </x:c>
      <x:c r="O27" s="135" t="n">
        <x:v>4</x:v>
      </x:c>
      <x:c r="P27" s="132" t="str">
        <x:v>FEEDING_AMERICA_MMG_2026</x:v>
      </x:c>
    </x:row>
    <x:row r="28">
      <x:c r="A28" s="136" t="str">
        <x:v>01047</x:v>
      </x:c>
      <x:c r="B28" s="132" t="str">
        <x:v>AL</x:v>
      </x:c>
      <x:c r="C28" s="132" t="str">
        <x:v>Dallas County, Alabama</x:v>
      </x:c>
      <x:c r="D28" s="135" t="n">
        <x:v>2024</x:v>
      </x:c>
      <x:c r="E28" s="139" t="n">
        <x:v>0.21</x:v>
      </x:c>
      <x:c r="F28" s="134" t="n">
        <x:v>7730</x:v>
      </x:c>
      <x:c r="G28" s="139" t="n">
        <x:v>0.286</x:v>
      </x:c>
      <x:c r="H28" s="139" t="n">
        <x:v>0.714</x:v>
      </x:c>
      <x:c r="I28" s="139" t="n">
        <x:v>0.326</x:v>
      </x:c>
      <x:c r="J28" s="134" t="n">
        <x:v>2840</x:v>
      </x:c>
      <x:c r="K28" s="138" t="b">
        <x:v>0</x:v>
      </x:c>
      <x:c r="L28" s="140" t="n">
        <x:v>3.51</x:v>
      </x:c>
      <x:c r="M28" s="140" t="n">
        <x:v>21.99</x:v>
      </x:c>
      <x:c r="N28" s="141" t="n">
        <x:v>5156000</x:v>
      </x:c>
      <x:c r="O28" s="135" t="n">
        <x:v>4</x:v>
      </x:c>
      <x:c r="P28" s="132" t="str">
        <x:v>FEEDING_AMERICA_MMG_2026</x:v>
      </x:c>
    </x:row>
    <x:row r="29">
      <x:c r="A29" s="136" t="str">
        <x:v>01049</x:v>
      </x:c>
      <x:c r="B29" s="132" t="str">
        <x:v>AL</x:v>
      </x:c>
      <x:c r="C29" s="132" t="str">
        <x:v>DeKalb County, Alabama</x:v>
      </x:c>
      <x:c r="D29" s="135" t="n">
        <x:v>2024</x:v>
      </x:c>
      <x:c r="E29" s="139" t="n">
        <x:v>0.218</x:v>
      </x:c>
      <x:c r="F29" s="134" t="n">
        <x:v>15740</x:v>
      </x:c>
      <x:c r="G29" s="139" t="n">
        <x:v>0.865</x:v>
      </x:c>
      <x:c r="H29" s="139" t="n">
        <x:v>0.135</x:v>
      </x:c>
      <x:c r="I29" s="139" t="n">
        <x:v>0.266</x:v>
      </x:c>
      <x:c r="J29" s="134" t="n">
        <x:v>4620</x:v>
      </x:c>
      <x:c r="K29" s="138" t="b">
        <x:v>0</x:v>
      </x:c>
      <x:c r="L29" s="140" t="n">
        <x:v>3.53</x:v>
      </x:c>
      <x:c r="M29" s="140" t="n">
        <x:v>22.07</x:v>
      </x:c>
      <x:c r="N29" s="141" t="n">
        <x:v>10536000</x:v>
      </x:c>
      <x:c r="O29" s="135" t="n">
        <x:v>6</x:v>
      </x:c>
      <x:c r="P29" s="132" t="str">
        <x:v>FEEDING_AMERICA_MMG_2026</x:v>
      </x:c>
    </x:row>
    <x:row r="30">
      <x:c r="A30" s="136" t="str">
        <x:v>01051</x:v>
      </x:c>
      <x:c r="B30" s="132" t="str">
        <x:v>AL</x:v>
      </x:c>
      <x:c r="C30" s="132" t="str">
        <x:v>Elmore County, Alabama</x:v>
      </x:c>
      <x:c r="D30" s="135" t="n">
        <x:v>2024</x:v>
      </x:c>
      <x:c r="E30" s="139" t="n">
        <x:v>0.147</x:v>
      </x:c>
      <x:c r="F30" s="134" t="n">
        <x:v>13130</x:v>
      </x:c>
      <x:c r="G30" s="139" t="n">
        <x:v>0.431</x:v>
      </x:c>
      <x:c r="H30" s="139" t="n">
        <x:v>0.569</x:v>
      </x:c>
      <x:c r="I30" s="139" t="n">
        <x:v>0.217</x:v>
      </x:c>
      <x:c r="J30" s="134" t="n">
        <x:v>4190</x:v>
      </x:c>
      <x:c r="K30" s="138" t="b">
        <x:v>0</x:v>
      </x:c>
      <x:c r="L30" s="140" t="n">
        <x:v>3.85</x:v>
      </x:c>
      <x:c r="M30" s="140" t="n">
        <x:v>24.09</x:v>
      </x:c>
      <x:c r="N30" s="141" t="n">
        <x:v>9596000</x:v>
      </x:c>
      <x:c r="O30" s="135" t="n">
        <x:v>2</x:v>
      </x:c>
      <x:c r="P30" s="132" t="str">
        <x:v>FEEDING_AMERICA_MMG_2026</x:v>
      </x:c>
    </x:row>
    <x:row r="31">
      <x:c r="A31" s="136" t="str">
        <x:v>01053</x:v>
      </x:c>
      <x:c r="B31" s="132" t="str">
        <x:v>AL</x:v>
      </x:c>
      <x:c r="C31" s="132" t="str">
        <x:v>Escambia County, Alabama</x:v>
      </x:c>
      <x:c r="D31" s="135" t="n">
        <x:v>2024</x:v>
      </x:c>
      <x:c r="E31" s="139" t="n">
        <x:v>0.203</x:v>
      </x:c>
      <x:c r="F31" s="134" t="n">
        <x:v>7450</x:v>
      </x:c>
      <x:c r="G31" s="139" t="n">
        <x:v>0.575</x:v>
      </x:c>
      <x:c r="H31" s="139" t="n">
        <x:v>0.425</x:v>
      </x:c>
      <x:c r="I31" s="139" t="n">
        <x:v>0.281</x:v>
      </x:c>
      <x:c r="J31" s="134" t="n">
        <x:v>2330</x:v>
      </x:c>
      <x:c r="K31" s="138" t="b">
        <x:v>0</x:v>
      </x:c>
      <x:c r="L31" s="140" t="n">
        <x:v>3.43</x:v>
      </x:c>
      <x:c r="M31" s="140" t="n">
        <x:v>21.46</x:v>
      </x:c>
      <x:c r="N31" s="141" t="n">
        <x:v>4851000</x:v>
      </x:c>
      <x:c r="O31" s="135" t="n">
        <x:v>6</x:v>
      </x:c>
      <x:c r="P31" s="132" t="str">
        <x:v>FEEDING_AMERICA_MMG_2026</x:v>
      </x:c>
    </x:row>
    <x:row r="32">
      <x:c r="A32" s="136" t="str">
        <x:v>01055</x:v>
      </x:c>
      <x:c r="B32" s="132" t="str">
        <x:v>AL</x:v>
      </x:c>
      <x:c r="C32" s="132" t="str">
        <x:v>Etowah County, Alabama</x:v>
      </x:c>
      <x:c r="D32" s="135" t="n">
        <x:v>2024</x:v>
      </x:c>
      <x:c r="E32" s="139" t="n">
        <x:v>0.193</x:v>
      </x:c>
      <x:c r="F32" s="134" t="n">
        <x:v>19950</x:v>
      </x:c>
      <x:c r="G32" s="139" t="n">
        <x:v>0.622</x:v>
      </x:c>
      <x:c r="H32" s="139" t="n">
        <x:v>0.378</x:v>
      </x:c>
      <x:c r="I32" s="139" t="n">
        <x:v>0.264</x:v>
      </x:c>
      <x:c r="J32" s="134" t="n">
        <x:v>5960</x:v>
      </x:c>
      <x:c r="K32" s="138" t="b">
        <x:v>0</x:v>
      </x:c>
      <x:c r="L32" s="140" t="n">
        <x:v>3.7</x:v>
      </x:c>
      <x:c r="M32" s="140" t="n">
        <x:v>23.18</x:v>
      </x:c>
      <x:c r="N32" s="141" t="n">
        <x:v>14027000</x:v>
      </x:c>
      <x:c r="O32" s="135" t="n">
        <x:v>3</x:v>
      </x:c>
      <x:c r="P32" s="132" t="str">
        <x:v>FEEDING_AMERICA_MMG_2026</x:v>
      </x:c>
    </x:row>
    <x:row r="33">
      <x:c r="A33" s="136" t="str">
        <x:v>01057</x:v>
      </x:c>
      <x:c r="B33" s="132" t="str">
        <x:v>AL</x:v>
      </x:c>
      <x:c r="C33" s="132" t="str">
        <x:v>Fayette County, Alabama</x:v>
      </x:c>
      <x:c r="D33" s="135" t="n">
        <x:v>2024</x:v>
      </x:c>
      <x:c r="E33" s="139" t="n">
        <x:v>0.213</x:v>
      </x:c>
      <x:c r="F33" s="134" t="n">
        <x:v>3420</x:v>
      </x:c>
      <x:c r="G33" s="139" t="n">
        <x:v>0.694</x:v>
      </x:c>
      <x:c r="H33" s="139" t="n">
        <x:v>0.306</x:v>
      </x:c>
      <x:c r="I33" s="139" t="n">
        <x:v>0.287</x:v>
      </x:c>
      <x:c r="J33" s="134" t="n">
        <x:v>980</x:v>
      </x:c>
      <x:c r="K33" s="138" t="b">
        <x:v>1</x:v>
      </x:c>
      <x:c r="L33" s="140" t="n">
        <x:v>3.38</x:v>
      </x:c>
      <x:c r="M33" s="140" t="n">
        <x:v>21.16</x:v>
      </x:c>
      <x:c r="N33" s="141" t="n">
        <x:v>2196000</x:v>
      </x:c>
      <x:c r="O33" s="135" t="n">
        <x:v>8</x:v>
      </x:c>
      <x:c r="P33" s="132" t="str">
        <x:v>FEEDING_AMERICA_MMG_2026</x:v>
      </x:c>
    </x:row>
    <x:row r="34">
      <x:c r="A34" s="136" t="str">
        <x:v>01059</x:v>
      </x:c>
      <x:c r="B34" s="132" t="str">
        <x:v>AL</x:v>
      </x:c>
      <x:c r="C34" s="132" t="str">
        <x:v>Franklin County, Alabama</x:v>
      </x:c>
      <x:c r="D34" s="135" t="n">
        <x:v>2024</x:v>
      </x:c>
      <x:c r="E34" s="139" t="n">
        <x:v>0.217</x:v>
      </x:c>
      <x:c r="F34" s="134" t="n">
        <x:v>6940</x:v>
      </x:c>
      <x:c r="G34" s="139" t="n">
        <x:v>0.786</x:v>
      </x:c>
      <x:c r="H34" s="139" t="n">
        <x:v>0.214</x:v>
      </x:c>
      <x:c r="I34" s="139" t="n">
        <x:v>0.266</x:v>
      </x:c>
      <x:c r="J34" s="134" t="n">
        <x:v>2140</x:v>
      </x:c>
      <x:c r="K34" s="138" t="b">
        <x:v>0</x:v>
      </x:c>
      <x:c r="L34" s="140" t="n">
        <x:v>3.33</x:v>
      </x:c>
      <x:c r="M34" s="140" t="n">
        <x:v>20.85</x:v>
      </x:c>
      <x:c r="N34" s="141" t="n">
        <x:v>4389000</x:v>
      </x:c>
      <x:c r="O34" s="135" t="n">
        <x:v>6</x:v>
      </x:c>
      <x:c r="P34" s="132" t="str">
        <x:v>FEEDING_AMERICA_MMG_2026</x:v>
      </x:c>
    </x:row>
    <x:row r="35">
      <x:c r="A35" s="136" t="str">
        <x:v>01061</x:v>
      </x:c>
      <x:c r="B35" s="132" t="str">
        <x:v>AL</x:v>
      </x:c>
      <x:c r="C35" s="132" t="str">
        <x:v>Geneva County, Alabama</x:v>
      </x:c>
      <x:c r="D35" s="135" t="n">
        <x:v>2024</x:v>
      </x:c>
      <x:c r="E35" s="139" t="n">
        <x:v>0.213</x:v>
      </x:c>
      <x:c r="F35" s="134" t="n">
        <x:v>5730</x:v>
      </x:c>
      <x:c r="G35" s="139" t="n">
        <x:v>0.702</x:v>
      </x:c>
      <x:c r="H35" s="139" t="n">
        <x:v>0.298</x:v>
      </x:c>
      <x:c r="I35" s="139" t="n">
        <x:v>0.282</x:v>
      </x:c>
      <x:c r="J35" s="134" t="n">
        <x:v>1660</x:v>
      </x:c>
      <x:c r="K35" s="138" t="b">
        <x:v>0</x:v>
      </x:c>
      <x:c r="L35" s="140" t="n">
        <x:v>3.8</x:v>
      </x:c>
      <x:c r="M35" s="140" t="n">
        <x:v>23.77</x:v>
      </x:c>
      <x:c r="N35" s="141" t="n">
        <x:v>4132000</x:v>
      </x:c>
      <x:c r="O35" s="135" t="n">
        <x:v>3</x:v>
      </x:c>
      <x:c r="P35" s="132" t="str">
        <x:v>FEEDING_AMERICA_MMG_2026</x:v>
      </x:c>
    </x:row>
    <x:row r="36">
      <x:c r="A36" s="136" t="str">
        <x:v>01063</x:v>
      </x:c>
      <x:c r="B36" s="132" t="str">
        <x:v>AL</x:v>
      </x:c>
      <x:c r="C36" s="132" t="str">
        <x:v>Greene County, Alabama</x:v>
      </x:c>
      <x:c r="D36" s="135" t="n">
        <x:v>2024</x:v>
      </x:c>
      <x:c r="E36" s="139" t="n">
        <x:v>0.248</x:v>
      </x:c>
      <x:c r="F36" s="134" t="n">
        <x:v>1840</x:v>
      </x:c>
      <x:c r="G36" s="139" t="n">
        <x:v>0.239</x:v>
      </x:c>
      <x:c r="H36" s="139" t="n">
        <x:v>0.761</x:v>
      </x:c>
      <x:c r="I36" s="139" t="n">
        <x:v>0.396</x:v>
      </x:c>
      <x:c r="J36" s="134" t="n">
        <x:v>630</x:v>
      </x:c>
      <x:c r="K36" s="138" t="b">
        <x:v>1</x:v>
      </x:c>
      <x:c r="L36" s="140" t="n">
        <x:v>4.07</x:v>
      </x:c>
      <x:c r="M36" s="140" t="n">
        <x:v>25.48</x:v>
      </x:c>
      <x:c r="N36" s="141" t="n">
        <x:v>1422000</x:v>
      </x:c>
      <x:c r="O36" s="135" t="n">
        <x:v>2</x:v>
      </x:c>
      <x:c r="P36" s="132" t="str">
        <x:v>FEEDING_AMERICA_MMG_2026</x:v>
      </x:c>
    </x:row>
    <x:row r="37">
      <x:c r="A37" s="136" t="str">
        <x:v>01065</x:v>
      </x:c>
      <x:c r="B37" s="132" t="str">
        <x:v>AL</x:v>
      </x:c>
      <x:c r="C37" s="132" t="str">
        <x:v>Hale County, Alabama</x:v>
      </x:c>
      <x:c r="D37" s="135" t="n">
        <x:v>2024</x:v>
      </x:c>
      <x:c r="E37" s="139" t="n">
        <x:v>0.198</x:v>
      </x:c>
      <x:c r="F37" s="134" t="n">
        <x:v>2930</x:v>
      </x:c>
      <x:c r="G37" s="139" t="n">
        <x:v>0.393</x:v>
      </x:c>
      <x:c r="H37" s="139" t="n">
        <x:v>0.607</x:v>
      </x:c>
      <x:c r="I37" s="139" t="n">
        <x:v>0.272</x:v>
      </x:c>
      <x:c r="J37" s="134" t="n">
        <x:v>970</x:v>
      </x:c>
      <x:c r="K37" s="138" t="b">
        <x:v>1</x:v>
      </x:c>
      <x:c r="L37" s="140" t="n">
        <x:v>4.07</x:v>
      </x:c>
      <x:c r="M37" s="140" t="n">
        <x:v>25.48</x:v>
      </x:c>
      <x:c r="N37" s="141" t="n">
        <x:v>2264000</x:v>
      </x:c>
      <x:c r="O37" s="135" t="n">
        <x:v>2</x:v>
      </x:c>
      <x:c r="P37" s="132" t="str">
        <x:v>FEEDING_AMERICA_MMG_2026</x:v>
      </x:c>
    </x:row>
    <x:row r="38">
      <x:c r="A38" s="136" t="str">
        <x:v>01067</x:v>
      </x:c>
      <x:c r="B38" s="132" t="str">
        <x:v>AL</x:v>
      </x:c>
      <x:c r="C38" s="132" t="str">
        <x:v>Henry County, Alabama</x:v>
      </x:c>
      <x:c r="D38" s="135" t="n">
        <x:v>2024</x:v>
      </x:c>
      <x:c r="E38" s="139" t="n">
        <x:v>0.192</x:v>
      </x:c>
      <x:c r="F38" s="134" t="n">
        <x:v>3380</x:v>
      </x:c>
      <x:c r="G38" s="139" t="n">
        <x:v>0.564</x:v>
      </x:c>
      <x:c r="H38" s="139" t="n">
        <x:v>0.436</x:v>
      </x:c>
      <x:c r="I38" s="139" t="n">
        <x:v>0.246</x:v>
      </x:c>
      <x:c r="J38" s="134" t="n">
        <x:v>890</x:v>
      </x:c>
      <x:c r="K38" s="138" t="b">
        <x:v>1</x:v>
      </x:c>
      <x:c r="L38" s="140" t="n">
        <x:v>3.83</x:v>
      </x:c>
      <x:c r="M38" s="140" t="n">
        <x:v>23.96</x:v>
      </x:c>
      <x:c r="N38" s="141" t="n">
        <x:v>2457000</x:v>
      </x:c>
      <x:c r="O38" s="135" t="n">
        <x:v>3</x:v>
      </x:c>
      <x:c r="P38" s="132" t="str">
        <x:v>FEEDING_AMERICA_MMG_2026</x:v>
      </x:c>
    </x:row>
    <x:row r="39">
      <x:c r="A39" s="136" t="str">
        <x:v>01069</x:v>
      </x:c>
      <x:c r="B39" s="132" t="str">
        <x:v>AL</x:v>
      </x:c>
      <x:c r="C39" s="132" t="str">
        <x:v>Houston County, Alabama</x:v>
      </x:c>
      <x:c r="D39" s="135" t="n">
        <x:v>2024</x:v>
      </x:c>
      <x:c r="E39" s="139" t="n">
        <x:v>0.187</x:v>
      </x:c>
      <x:c r="F39" s="134" t="n">
        <x:v>20260</x:v>
      </x:c>
      <x:c r="G39" s="139" t="n">
        <x:v>0.498</x:v>
      </x:c>
      <x:c r="H39" s="139" t="n">
        <x:v>0.502</x:v>
      </x:c>
      <x:c r="I39" s="139" t="n">
        <x:v>0.277</x:v>
      </x:c>
      <x:c r="J39" s="134" t="n">
        <x:v>6860</x:v>
      </x:c>
      <x:c r="K39" s="138" t="b">
        <x:v>0</x:v>
      </x:c>
      <x:c r="L39" s="140" t="n">
        <x:v>3.79</x:v>
      </x:c>
      <x:c r="M39" s="140" t="n">
        <x:v>23.73</x:v>
      </x:c>
      <x:c r="N39" s="141" t="n">
        <x:v>14586000</x:v>
      </x:c>
      <x:c r="O39" s="135" t="n">
        <x:v>3</x:v>
      </x:c>
      <x:c r="P39" s="132" t="str">
        <x:v>FEEDING_AMERICA_MMG_2026</x:v>
      </x:c>
    </x:row>
    <x:row r="40">
      <x:c r="A40" s="136" t="str">
        <x:v>01071</x:v>
      </x:c>
      <x:c r="B40" s="132" t="str">
        <x:v>AL</x:v>
      </x:c>
      <x:c r="C40" s="132" t="str">
        <x:v>Jackson County, Alabama</x:v>
      </x:c>
      <x:c r="D40" s="135" t="n">
        <x:v>2024</x:v>
      </x:c>
      <x:c r="E40" s="139" t="n">
        <x:v>0.213</x:v>
      </x:c>
      <x:c r="F40" s="134" t="n">
        <x:v>11320</x:v>
      </x:c>
      <x:c r="G40" s="139" t="n">
        <x:v>0.691</x:v>
      </x:c>
      <x:c r="H40" s="139" t="n">
        <x:v>0.309</x:v>
      </x:c>
      <x:c r="I40" s="139" t="n">
        <x:v>0.271</x:v>
      </x:c>
      <x:c r="J40" s="134" t="n">
        <x:v>2990</x:v>
      </x:c>
      <x:c r="K40" s="138" t="b">
        <x:v>0</x:v>
      </x:c>
      <x:c r="L40" s="140" t="n">
        <x:v>3.66</x:v>
      </x:c>
      <x:c r="M40" s="140" t="n">
        <x:v>22.9</x:v>
      </x:c>
      <x:c r="N40" s="141" t="n">
        <x:v>7865000</x:v>
      </x:c>
      <x:c r="O40" s="135" t="n">
        <x:v>6</x:v>
      </x:c>
      <x:c r="P40" s="132" t="str">
        <x:v>FEEDING_AMERICA_MMG_2026</x:v>
      </x:c>
    </x:row>
    <x:row r="41">
      <x:c r="A41" s="136" t="str">
        <x:v>01073</x:v>
      </x:c>
      <x:c r="B41" s="132" t="str">
        <x:v>AL</x:v>
      </x:c>
      <x:c r="C41" s="132" t="str">
        <x:v>Jefferson County, Alabama</x:v>
      </x:c>
      <x:c r="D41" s="135" t="n">
        <x:v>2024</x:v>
      </x:c>
      <x:c r="E41" s="139" t="n">
        <x:v>0.164</x:v>
      </x:c>
      <x:c r="F41" s="134" t="n">
        <x:v>109330</x:v>
      </x:c>
      <x:c r="G41" s="139" t="n">
        <x:v>0.348</x:v>
      </x:c>
      <x:c r="H41" s="139" t="n">
        <x:v>0.652</x:v>
      </x:c>
      <x:c r="I41" s="139" t="n">
        <x:v>0.237</x:v>
      </x:c>
      <x:c r="J41" s="134" t="n">
        <x:v>36340</x:v>
      </x:c>
      <x:c r="K41" s="138" t="b">
        <x:v>0</x:v>
      </x:c>
      <x:c r="L41" s="140" t="n">
        <x:v>4.01</x:v>
      </x:c>
      <x:c r="M41" s="140" t="n">
        <x:v>25.12</x:v>
      </x:c>
      <x:c r="N41" s="141" t="n">
        <x:v>83322000</x:v>
      </x:c>
      <x:c r="O41" s="135" t="n">
        <x:v>1</x:v>
      </x:c>
      <x:c r="P41" s="132" t="str">
        <x:v>FEEDING_AMERICA_MMG_2026</x:v>
      </x:c>
    </x:row>
    <x:row r="42">
      <x:c r="A42" s="136" t="str">
        <x:v>01075</x:v>
      </x:c>
      <x:c r="B42" s="132" t="str">
        <x:v>AL</x:v>
      </x:c>
      <x:c r="C42" s="132" t="str">
        <x:v>Lamar County, Alabama</x:v>
      </x:c>
      <x:c r="D42" s="135" t="n">
        <x:v>2024</x:v>
      </x:c>
      <x:c r="E42" s="139" t="n">
        <x:v>0.21</x:v>
      </x:c>
      <x:c r="F42" s="134" t="n">
        <x:v>2870</x:v>
      </x:c>
      <x:c r="G42" s="139" t="n">
        <x:v>0.697</x:v>
      </x:c>
      <x:c r="H42" s="139" t="n">
        <x:v>0.303</x:v>
      </x:c>
      <x:c r="I42" s="139" t="n">
        <x:v>0.255</x:v>
      </x:c>
      <x:c r="J42" s="134" t="n">
        <x:v>770</x:v>
      </x:c>
      <x:c r="K42" s="138" t="b">
        <x:v>1</x:v>
      </x:c>
      <x:c r="L42" s="140" t="n">
        <x:v>3.38</x:v>
      </x:c>
      <x:c r="M42" s="140" t="n">
        <x:v>21.16</x:v>
      </x:c>
      <x:c r="N42" s="141" t="n">
        <x:v>1842000</x:v>
      </x:c>
      <x:c r="O42" s="135" t="n">
        <x:v>8</x:v>
      </x:c>
      <x:c r="P42" s="132" t="str">
        <x:v>FEEDING_AMERICA_MMG_2026</x:v>
      </x:c>
    </x:row>
    <x:row r="43">
      <x:c r="A43" s="136" t="str">
        <x:v>01077</x:v>
      </x:c>
      <x:c r="B43" s="132" t="str">
        <x:v>AL</x:v>
      </x:c>
      <x:c r="C43" s="132" t="str">
        <x:v>Lauderdale County, Alabama</x:v>
      </x:c>
      <x:c r="D43" s="135" t="n">
        <x:v>2024</x:v>
      </x:c>
      <x:c r="E43" s="139" t="n">
        <x:v>0.179</x:v>
      </x:c>
      <x:c r="F43" s="134" t="n">
        <x:v>17170</x:v>
      </x:c>
      <x:c r="G43" s="139" t="n">
        <x:v>0.512</x:v>
      </x:c>
      <x:c r="H43" s="139" t="n">
        <x:v>0.488</x:v>
      </x:c>
      <x:c r="I43" s="139" t="n">
        <x:v>0.25</x:v>
      </x:c>
      <x:c r="J43" s="134" t="n">
        <x:v>4650</x:v>
      </x:c>
      <x:c r="K43" s="138" t="b">
        <x:v>0</x:v>
      </x:c>
      <x:c r="L43" s="140" t="n">
        <x:v>3.65</x:v>
      </x:c>
      <x:c r="M43" s="140" t="n">
        <x:v>22.88</x:v>
      </x:c>
      <x:c r="N43" s="141" t="n">
        <x:v>11915000</x:v>
      </x:c>
      <x:c r="O43" s="135" t="n">
        <x:v>3</x:v>
      </x:c>
      <x:c r="P43" s="132" t="str">
        <x:v>FEEDING_AMERICA_MMG_2026</x:v>
      </x:c>
    </x:row>
    <x:row r="44">
      <x:c r="A44" s="136" t="str">
        <x:v>01079</x:v>
      </x:c>
      <x:c r="B44" s="132" t="str">
        <x:v>AL</x:v>
      </x:c>
      <x:c r="C44" s="132" t="str">
        <x:v>Lawrence County, Alabama</x:v>
      </x:c>
      <x:c r="D44" s="135" t="n">
        <x:v>2024</x:v>
      </x:c>
      <x:c r="E44" s="139" t="n">
        <x:v>0.176</x:v>
      </x:c>
      <x:c r="F44" s="134" t="n">
        <x:v>5850</x:v>
      </x:c>
      <x:c r="G44" s="139" t="n">
        <x:v>0.615</x:v>
      </x:c>
      <x:c r="H44" s="139" t="n">
        <x:v>0.385</x:v>
      </x:c>
      <x:c r="I44" s="139" t="n">
        <x:v>0.244</x:v>
      </x:c>
      <x:c r="J44" s="134" t="n">
        <x:v>1760</x:v>
      </x:c>
      <x:c r="K44" s="138" t="b">
        <x:v>0</x:v>
      </x:c>
      <x:c r="L44" s="140" t="n">
        <x:v>3.39</x:v>
      </x:c>
      <x:c r="M44" s="140" t="n">
        <x:v>21.22</x:v>
      </x:c>
      <x:c r="N44" s="141" t="n">
        <x:v>3766000</x:v>
      </x:c>
      <x:c r="O44" s="135" t="n">
        <x:v>3</x:v>
      </x:c>
      <x:c r="P44" s="132" t="str">
        <x:v>FEEDING_AMERICA_MMG_2026</x:v>
      </x:c>
    </x:row>
    <x:row r="45">
      <x:c r="A45" s="136" t="str">
        <x:v>01081</x:v>
      </x:c>
      <x:c r="B45" s="132" t="str">
        <x:v>AL</x:v>
      </x:c>
      <x:c r="C45" s="132" t="str">
        <x:v>Lee County, Alabama</x:v>
      </x:c>
      <x:c r="D45" s="135" t="n">
        <x:v>2024</x:v>
      </x:c>
      <x:c r="E45" s="139" t="n">
        <x:v>0.166</x:v>
      </x:c>
      <x:c r="F45" s="134" t="n">
        <x:v>30070</x:v>
      </x:c>
      <x:c r="G45" s="139" t="n">
        <x:v>0.528</x:v>
      </x:c>
      <x:c r="H45" s="139" t="n">
        <x:v>0.472</x:v>
      </x:c>
      <x:c r="I45" s="139" t="n">
        <x:v>0.198</x:v>
      </x:c>
      <x:c r="J45" s="134" t="n">
        <x:v>7520</x:v>
      </x:c>
      <x:c r="K45" s="138" t="b">
        <x:v>0</x:v>
      </x:c>
      <x:c r="L45" s="140" t="n">
        <x:v>4.11</x:v>
      </x:c>
      <x:c r="M45" s="140" t="n">
        <x:v>25.73</x:v>
      </x:c>
      <x:c r="N45" s="141" t="n">
        <x:v>23472000</x:v>
      </x:c>
      <x:c r="O45" s="135" t="n">
        <x:v>3</x:v>
      </x:c>
      <x:c r="P45" s="132" t="str">
        <x:v>FEEDING_AMERICA_MMG_2026</x:v>
      </x:c>
    </x:row>
    <x:row r="46">
      <x:c r="A46" s="136" t="str">
        <x:v>01083</x:v>
      </x:c>
      <x:c r="B46" s="132" t="str">
        <x:v>AL</x:v>
      </x:c>
      <x:c r="C46" s="132" t="str">
        <x:v>Limestone County, Alabama</x:v>
      </x:c>
      <x:c r="D46" s="135" t="n">
        <x:v>2024</x:v>
      </x:c>
      <x:c r="E46" s="139" t="n">
        <x:v>0.154</x:v>
      </x:c>
      <x:c r="F46" s="134" t="n">
        <x:v>17150</x:v>
      </x:c>
      <x:c r="G46" s="139" t="n">
        <x:v>0.407</x:v>
      </x:c>
      <x:c r="H46" s="139" t="n">
        <x:v>0.593</x:v>
      </x:c>
      <x:c r="I46" s="139" t="n">
        <x:v>0.19</x:v>
      </x:c>
      <x:c r="J46" s="134" t="n">
        <x:v>4700</x:v>
      </x:c>
      <x:c r="K46" s="138" t="b">
        <x:v>0</x:v>
      </x:c>
      <x:c r="L46" s="140" t="n">
        <x:v>4.01</x:v>
      </x:c>
      <x:c r="M46" s="140" t="n">
        <x:v>25.09</x:v>
      </x:c>
      <x:c r="N46" s="141" t="n">
        <x:v>13054000</x:v>
      </x:c>
      <x:c r="O46" s="135" t="n">
        <x:v>2</x:v>
      </x:c>
      <x:c r="P46" s="132" t="str">
        <x:v>FEEDING_AMERICA_MMG_2026</x:v>
      </x:c>
    </x:row>
    <x:row r="47">
      <x:c r="A47" s="136" t="str">
        <x:v>01085</x:v>
      </x:c>
      <x:c r="B47" s="132" t="str">
        <x:v>AL</x:v>
      </x:c>
      <x:c r="C47" s="132" t="str">
        <x:v>Lowndes County, Alabama</x:v>
      </x:c>
      <x:c r="D47" s="135" t="n">
        <x:v>2024</x:v>
      </x:c>
      <x:c r="E47" s="139" t="n">
        <x:v>0.18</x:v>
      </x:c>
      <x:c r="F47" s="134" t="n">
        <x:v>1770</x:v>
      </x:c>
      <x:c r="G47" s="139" t="n">
        <x:v>0.235</x:v>
      </x:c>
      <x:c r="H47" s="139" t="n">
        <x:v>0.765</x:v>
      </x:c>
      <x:c r="I47" s="139" t="n">
        <x:v>0.348</x:v>
      </x:c>
      <x:c r="J47" s="134" t="n">
        <x:v>750</x:v>
      </x:c>
      <x:c r="K47" s="138" t="b">
        <x:v>1</x:v>
      </x:c>
      <x:c r="L47" s="140" t="n">
        <x:v>3.81</x:v>
      </x:c>
      <x:c r="M47" s="140" t="n">
        <x:v>23.83</x:v>
      </x:c>
      <x:c r="N47" s="141" t="n">
        <x:v>1280000</x:v>
      </x:c>
      <x:c r="O47" s="135" t="n">
        <x:v>2</x:v>
      </x:c>
      <x:c r="P47" s="132" t="str">
        <x:v>FEEDING_AMERICA_MMG_2026</x:v>
      </x:c>
    </x:row>
    <x:row r="48">
      <x:c r="A48" s="136" t="str">
        <x:v>01087</x:v>
      </x:c>
      <x:c r="B48" s="132" t="str">
        <x:v>AL</x:v>
      </x:c>
      <x:c r="C48" s="132" t="str">
        <x:v>Macon County, Alabama</x:v>
      </x:c>
      <x:c r="D48" s="135" t="n">
        <x:v>2024</x:v>
      </x:c>
      <x:c r="E48" s="139" t="n">
        <x:v>0.164</x:v>
      </x:c>
      <x:c r="F48" s="134" t="n">
        <x:v>3070</x:v>
      </x:c>
      <x:c r="G48" s="139" t="n">
        <x:v>0.07</x:v>
      </x:c>
      <x:c r="H48" s="139" t="n">
        <x:v>0.93</x:v>
      </x:c>
      <x:c r="I48" s="139" t="n">
        <x:v>0.335</x:v>
      </x:c>
      <x:c r="J48" s="134" t="n">
        <x:v>970</x:v>
      </x:c>
      <x:c r="K48" s="138" t="b">
        <x:v>1</x:v>
      </x:c>
      <x:c r="L48" s="140" t="n">
        <x:v>4.05</x:v>
      </x:c>
      <x:c r="M48" s="140" t="n">
        <x:v>25.37</x:v>
      </x:c>
      <x:c r="N48" s="141" t="n">
        <x:v>2363000</x:v>
      </x:c>
      <x:c r="O48" s="135" t="n">
        <x:v>3</x:v>
      </x:c>
      <x:c r="P48" s="132" t="str">
        <x:v>FEEDING_AMERICA_MMG_2026</x:v>
      </x:c>
    </x:row>
    <x:row r="49">
      <x:c r="A49" s="136" t="str">
        <x:v>01089</x:v>
      </x:c>
      <x:c r="B49" s="132" t="str">
        <x:v>AL</x:v>
      </x:c>
      <x:c r="C49" s="132" t="str">
        <x:v>Madison County, Alabama</x:v>
      </x:c>
      <x:c r="D49" s="135" t="n">
        <x:v>2024</x:v>
      </x:c>
      <x:c r="E49" s="139" t="n">
        <x:v>0.15</x:v>
      </x:c>
      <x:c r="F49" s="134" t="n">
        <x:v>60880</x:v>
      </x:c>
      <x:c r="G49" s="139" t="n">
        <x:v>0.354</x:v>
      </x:c>
      <x:c r="H49" s="139" t="n">
        <x:v>0.646</x:v>
      </x:c>
      <x:c r="I49" s="139" t="n">
        <x:v>0.195</x:v>
      </x:c>
      <x:c r="J49" s="134" t="n">
        <x:v>17090</x:v>
      </x:c>
      <x:c r="K49" s="138" t="b">
        <x:v>0</x:v>
      </x:c>
      <x:c r="L49" s="140" t="n">
        <x:v>3.82</x:v>
      </x:c>
      <x:c r="M49" s="140" t="n">
        <x:v>23.89</x:v>
      </x:c>
      <x:c r="N49" s="141" t="n">
        <x:v>44110000</x:v>
      </x:c>
      <x:c r="O49" s="135" t="n">
        <x:v>2</x:v>
      </x:c>
      <x:c r="P49" s="132" t="str">
        <x:v>FEEDING_AMERICA_MMG_2026</x:v>
      </x:c>
    </x:row>
    <x:row r="50">
      <x:c r="A50" s="136" t="str">
        <x:v>01091</x:v>
      </x:c>
      <x:c r="B50" s="132" t="str">
        <x:v>AL</x:v>
      </x:c>
      <x:c r="C50" s="132" t="str">
        <x:v>Marengo County, Alabama</x:v>
      </x:c>
      <x:c r="D50" s="135" t="n">
        <x:v>2024</x:v>
      </x:c>
      <x:c r="E50" s="139" t="n">
        <x:v>0.191</x:v>
      </x:c>
      <x:c r="F50" s="134" t="n">
        <x:v>3600</x:v>
      </x:c>
      <x:c r="G50" s="139" t="n">
        <x:v>0.408</x:v>
      </x:c>
      <x:c r="H50" s="139" t="n">
        <x:v>0.592</x:v>
      </x:c>
      <x:c r="I50" s="139" t="n">
        <x:v>0.27</x:v>
      </x:c>
      <x:c r="J50" s="134" t="n">
        <x:v>1120</x:v>
      </x:c>
      <x:c r="K50" s="138" t="b">
        <x:v>1</x:v>
      </x:c>
      <x:c r="L50" s="140" t="n">
        <x:v>3.56</x:v>
      </x:c>
      <x:c r="M50" s="140" t="n">
        <x:v>22.3</x:v>
      </x:c>
      <x:c r="N50" s="141" t="n">
        <x:v>2436000</x:v>
      </x:c>
      <x:c r="O50" s="135" t="n">
        <x:v>6</x:v>
      </x:c>
      <x:c r="P50" s="132" t="str">
        <x:v>FEEDING_AMERICA_MMG_2026</x:v>
      </x:c>
    </x:row>
    <x:row r="51">
      <x:c r="A51" s="136" t="str">
        <x:v>01093</x:v>
      </x:c>
      <x:c r="B51" s="132" t="str">
        <x:v>AL</x:v>
      </x:c>
      <x:c r="C51" s="132" t="str">
        <x:v>Marion County, Alabama</x:v>
      </x:c>
      <x:c r="D51" s="135" t="n">
        <x:v>2024</x:v>
      </x:c>
      <x:c r="E51" s="139" t="n">
        <x:v>0.222</x:v>
      </x:c>
      <x:c r="F51" s="134" t="n">
        <x:v>6470</x:v>
      </x:c>
      <x:c r="G51" s="139" t="n">
        <x:v>0.701</x:v>
      </x:c>
      <x:c r="H51" s="139" t="n">
        <x:v>0.299</x:v>
      </x:c>
      <x:c r="I51" s="139" t="n">
        <x:v>0.289</x:v>
      </x:c>
      <x:c r="J51" s="134" t="n">
        <x:v>1780</x:v>
      </x:c>
      <x:c r="K51" s="138" t="b">
        <x:v>0</x:v>
      </x:c>
      <x:c r="L51" s="140" t="n">
        <x:v>3.38</x:v>
      </x:c>
      <x:c r="M51" s="140" t="n">
        <x:v>21.16</x:v>
      </x:c>
      <x:c r="N51" s="141" t="n">
        <x:v>4154000</x:v>
      </x:c>
      <x:c r="O51" s="135" t="n">
        <x:v>9</x:v>
      </x:c>
      <x:c r="P51" s="132" t="str">
        <x:v>FEEDING_AMERICA_MMG_2026</x:v>
      </x:c>
    </x:row>
    <x:row r="52">
      <x:c r="A52" s="136" t="str">
        <x:v>01095</x:v>
      </x:c>
      <x:c r="B52" s="132" t="str">
        <x:v>AL</x:v>
      </x:c>
      <x:c r="C52" s="132" t="str">
        <x:v>Marshall County, Alabama</x:v>
      </x:c>
      <x:c r="D52" s="135" t="n">
        <x:v>2024</x:v>
      </x:c>
      <x:c r="E52" s="139" t="n">
        <x:v>0.2</x:v>
      </x:c>
      <x:c r="F52" s="134" t="n">
        <x:v>19990</x:v>
      </x:c>
      <x:c r="G52" s="139" t="n">
        <x:v>0.665</x:v>
      </x:c>
      <x:c r="H52" s="139" t="n">
        <x:v>0.335</x:v>
      </x:c>
      <x:c r="I52" s="139" t="n">
        <x:v>0.242</x:v>
      </x:c>
      <x:c r="J52" s="134" t="n">
        <x:v>6280</x:v>
      </x:c>
      <x:c r="K52" s="138" t="b">
        <x:v>0</x:v>
      </x:c>
      <x:c r="L52" s="140" t="n">
        <x:v>3.5</x:v>
      </x:c>
      <x:c r="M52" s="140" t="n">
        <x:v>21.88</x:v>
      </x:c>
      <x:c r="N52" s="141" t="n">
        <x:v>13270000</x:v>
      </x:c>
      <x:c r="O52" s="135" t="n">
        <x:v>4</x:v>
      </x:c>
      <x:c r="P52" s="132" t="str">
        <x:v>FEEDING_AMERICA_MMG_2026</x:v>
      </x:c>
    </x:row>
    <x:row r="53">
      <x:c r="A53" s="136" t="str">
        <x:v>01097</x:v>
      </x:c>
      <x:c r="B53" s="132" t="str">
        <x:v>AL</x:v>
      </x:c>
      <x:c r="C53" s="132" t="str">
        <x:v>Mobile County, Alabama</x:v>
      </x:c>
      <x:c r="D53" s="135" t="n">
        <x:v>2024</x:v>
      </x:c>
      <x:c r="E53" s="139" t="n">
        <x:v>0.167</x:v>
      </x:c>
      <x:c r="F53" s="134" t="n">
        <x:v>68970</x:v>
      </x:c>
      <x:c r="G53" s="139" t="n">
        <x:v>0.413</x:v>
      </x:c>
      <x:c r="H53" s="139" t="n">
        <x:v>0.587</x:v>
      </x:c>
      <x:c r="I53" s="139" t="n">
        <x:v>0.249</x:v>
      </x:c>
      <x:c r="J53" s="134" t="n">
        <x:v>23870</x:v>
      </x:c>
      <x:c r="K53" s="138" t="b">
        <x:v>0</x:v>
      </x:c>
      <x:c r="L53" s="140" t="n">
        <x:v>3.72</x:v>
      </x:c>
      <x:c r="M53" s="140" t="n">
        <x:v>23.26</x:v>
      </x:c>
      <x:c r="N53" s="141" t="n">
        <x:v>48667000</x:v>
      </x:c>
      <x:c r="O53" s="135" t="n">
        <x:v>2</x:v>
      </x:c>
      <x:c r="P53" s="132" t="str">
        <x:v>FEEDING_AMERICA_MMG_2026</x:v>
      </x:c>
    </x:row>
    <x:row r="54">
      <x:c r="A54" s="136" t="str">
        <x:v>01099</x:v>
      </x:c>
      <x:c r="B54" s="132" t="str">
        <x:v>AL</x:v>
      </x:c>
      <x:c r="C54" s="132" t="str">
        <x:v>Monroe County, Alabama</x:v>
      </x:c>
      <x:c r="D54" s="135" t="n">
        <x:v>2024</x:v>
      </x:c>
      <x:c r="E54" s="139" t="n">
        <x:v>0.182</x:v>
      </x:c>
      <x:c r="F54" s="134" t="n">
        <x:v>3530</x:v>
      </x:c>
      <x:c r="G54" s="139" t="n">
        <x:v>0.456</x:v>
      </x:c>
      <x:c r="H54" s="139" t="n">
        <x:v>0.544</x:v>
      </x:c>
      <x:c r="I54" s="139" t="n">
        <x:v>0.264</x:v>
      </x:c>
      <x:c r="J54" s="134" t="n">
        <x:v>1080</x:v>
      </x:c>
      <x:c r="K54" s="138" t="b">
        <x:v>1</x:v>
      </x:c>
      <x:c r="L54" s="140" t="n">
        <x:v>3.48</x:v>
      </x:c>
      <x:c r="M54" s="140" t="n">
        <x:v>21.77</x:v>
      </x:c>
      <x:c r="N54" s="141" t="n">
        <x:v>2331000</x:v>
      </x:c>
      <x:c r="O54" s="135" t="n">
        <x:v>8</x:v>
      </x:c>
      <x:c r="P54" s="132" t="str">
        <x:v>FEEDING_AMERICA_MMG_2026</x:v>
      </x:c>
    </x:row>
    <x:row r="55">
      <x:c r="A55" s="136" t="str">
        <x:v>01101</x:v>
      </x:c>
      <x:c r="B55" s="132" t="str">
        <x:v>AL</x:v>
      </x:c>
      <x:c r="C55" s="132" t="str">
        <x:v>Montgomery County, Alabama</x:v>
      </x:c>
      <x:c r="D55" s="135" t="n">
        <x:v>2024</x:v>
      </x:c>
      <x:c r="E55" s="139" t="n">
        <x:v>0.171</x:v>
      </x:c>
      <x:c r="F55" s="134" t="n">
        <x:v>38710</x:v>
      </x:c>
      <x:c r="G55" s="139" t="n">
        <x:v>0.259</x:v>
      </x:c>
      <x:c r="H55" s="139" t="n">
        <x:v>0.741</x:v>
      </x:c>
      <x:c r="I55" s="139" t="n">
        <x:v>0.293</x:v>
      </x:c>
      <x:c r="J55" s="134" t="n">
        <x:v>16000</x:v>
      </x:c>
      <x:c r="K55" s="138" t="b">
        <x:v>0</x:v>
      </x:c>
      <x:c r="L55" s="140" t="n">
        <x:v>3.75</x:v>
      </x:c>
      <x:c r="M55" s="140" t="n">
        <x:v>23.5</x:v>
      </x:c>
      <x:c r="N55" s="141" t="n">
        <x:v>27594000</x:v>
      </x:c>
      <x:c r="O55" s="135" t="n">
        <x:v>2</x:v>
      </x:c>
      <x:c r="P55" s="132" t="str">
        <x:v>FEEDING_AMERICA_MMG_2026</x:v>
      </x:c>
    </x:row>
    <x:row r="56">
      <x:c r="A56" s="136" t="str">
        <x:v>01103</x:v>
      </x:c>
      <x:c r="B56" s="132" t="str">
        <x:v>AL</x:v>
      </x:c>
      <x:c r="C56" s="132" t="str">
        <x:v>Morgan County, Alabama</x:v>
      </x:c>
      <x:c r="D56" s="135" t="n">
        <x:v>2024</x:v>
      </x:c>
      <x:c r="E56" s="139" t="n">
        <x:v>0.184</x:v>
      </x:c>
      <x:c r="F56" s="134" t="n">
        <x:v>22910</x:v>
      </x:c>
      <x:c r="G56" s="139" t="n">
        <x:v>0.516</x:v>
      </x:c>
      <x:c r="H56" s="139" t="n">
        <x:v>0.484</x:v>
      </x:c>
      <x:c r="I56" s="139" t="n">
        <x:v>0.238</x:v>
      </x:c>
      <x:c r="J56" s="134" t="n">
        <x:v>6940</x:v>
      </x:c>
      <x:c r="K56" s="138" t="b">
        <x:v>0</x:v>
      </x:c>
      <x:c r="L56" s="140" t="n">
        <x:v>3.7</x:v>
      </x:c>
      <x:c r="M56" s="140" t="n">
        <x:v>23.18</x:v>
      </x:c>
      <x:c r="N56" s="141" t="n">
        <x:v>16111000</x:v>
      </x:c>
      <x:c r="O56" s="135" t="n">
        <x:v>3</x:v>
      </x:c>
      <x:c r="P56" s="132" t="str">
        <x:v>FEEDING_AMERICA_MMG_2026</x:v>
      </x:c>
    </x:row>
    <x:row r="57">
      <x:c r="A57" s="136" t="str">
        <x:v>01105</x:v>
      </x:c>
      <x:c r="B57" s="132" t="str">
        <x:v>AL</x:v>
      </x:c>
      <x:c r="C57" s="132" t="str">
        <x:v>Perry County, Alabama</x:v>
      </x:c>
      <x:c r="D57" s="135" t="n">
        <x:v>2024</x:v>
      </x:c>
      <x:c r="E57" s="139" t="n">
        <x:v>0.205</x:v>
      </x:c>
      <x:c r="F57" s="134" t="n">
        <x:v>1640</x:v>
      </x:c>
      <x:c r="G57" s="139" t="n">
        <x:v>0.335</x:v>
      </x:c>
      <x:c r="H57" s="139" t="n">
        <x:v>0.665</x:v>
      </x:c>
      <x:c r="I57" s="139" t="n">
        <x:v>0.374</x:v>
      </x:c>
      <x:c r="J57" s="134" t="n">
        <x:v>640</x:v>
      </x:c>
      <x:c r="K57" s="138" t="b">
        <x:v>1</x:v>
      </x:c>
      <x:c r="L57" s="140" t="n">
        <x:v>3.56</x:v>
      </x:c>
      <x:c r="M57" s="140" t="n">
        <x:v>22.3</x:v>
      </x:c>
      <x:c r="N57" s="141" t="n">
        <x:v>1110000</x:v>
      </x:c>
      <x:c r="O57" s="135" t="n">
        <x:v>8</x:v>
      </x:c>
      <x:c r="P57" s="132" t="str">
        <x:v>FEEDING_AMERICA_MMG_2026</x:v>
      </x:c>
    </x:row>
    <x:row r="58">
      <x:c r="A58" s="136" t="str">
        <x:v>01107</x:v>
      </x:c>
      <x:c r="B58" s="132" t="str">
        <x:v>AL</x:v>
      </x:c>
      <x:c r="C58" s="132" t="str">
        <x:v>Pickens County, Alabama</x:v>
      </x:c>
      <x:c r="D58" s="135" t="n">
        <x:v>2024</x:v>
      </x:c>
      <x:c r="E58" s="139" t="n">
        <x:v>0.188</x:v>
      </x:c>
      <x:c r="F58" s="134" t="n">
        <x:v>3520</x:v>
      </x:c>
      <x:c r="G58" s="139" t="n">
        <x:v>0.464</x:v>
      </x:c>
      <x:c r="H58" s="139" t="n">
        <x:v>0.536</x:v>
      </x:c>
      <x:c r="I58" s="139" t="n">
        <x:v>0.279</x:v>
      </x:c>
      <x:c r="J58" s="134" t="n">
        <x:v>1000</x:v>
      </x:c>
      <x:c r="K58" s="138" t="b">
        <x:v>1</x:v>
      </x:c>
      <x:c r="L58" s="140" t="n">
        <x:v>3.74</x:v>
      </x:c>
      <x:c r="M58" s="140" t="n">
        <x:v>23.42</x:v>
      </x:c>
      <x:c r="N58" s="141" t="n">
        <x:v>2501000</x:v>
      </x:c>
      <x:c r="O58" s="135" t="n">
        <x:v>2</x:v>
      </x:c>
      <x:c r="P58" s="132" t="str">
        <x:v>FEEDING_AMERICA_MMG_2026</x:v>
      </x:c>
    </x:row>
    <x:row r="59">
      <x:c r="A59" s="136" t="str">
        <x:v>01109</x:v>
      </x:c>
      <x:c r="B59" s="132" t="str">
        <x:v>AL</x:v>
      </x:c>
      <x:c r="C59" s="132" t="str">
        <x:v>Pike County, Alabama</x:v>
      </x:c>
      <x:c r="D59" s="135" t="n">
        <x:v>2024</x:v>
      </x:c>
      <x:c r="E59" s="139" t="n">
        <x:v>0.183</x:v>
      </x:c>
      <x:c r="F59" s="134" t="n">
        <x:v>6040</x:v>
      </x:c>
      <x:c r="G59" s="139" t="n">
        <x:v>0.474</x:v>
      </x:c>
      <x:c r="H59" s="139" t="n">
        <x:v>0.526</x:v>
      </x:c>
      <x:c r="I59" s="139" t="n">
        <x:v>0.261</x:v>
      </x:c>
      <x:c r="J59" s="134" t="n">
        <x:v>1660</x:v>
      </x:c>
      <x:c r="K59" s="138" t="b">
        <x:v>0</x:v>
      </x:c>
      <x:c r="L59" s="140" t="n">
        <x:v>3.83</x:v>
      </x:c>
      <x:c r="M59" s="140" t="n">
        <x:v>23.96</x:v>
      </x:c>
      <x:c r="N59" s="141" t="n">
        <x:v>4390000</x:v>
      </x:c>
      <x:c r="O59" s="135" t="n">
        <x:v>6</x:v>
      </x:c>
      <x:c r="P59" s="132" t="str">
        <x:v>FEEDING_AMERICA_MMG_2026</x:v>
      </x:c>
    </x:row>
    <x:row r="60">
      <x:c r="A60" s="136" t="str">
        <x:v>01111</x:v>
      </x:c>
      <x:c r="B60" s="132" t="str">
        <x:v>AL</x:v>
      </x:c>
      <x:c r="C60" s="132" t="str">
        <x:v>Randolph County, Alabama</x:v>
      </x:c>
      <x:c r="D60" s="135" t="n">
        <x:v>2024</x:v>
      </x:c>
      <x:c r="E60" s="139" t="n">
        <x:v>0.191</x:v>
      </x:c>
      <x:c r="F60" s="134" t="n">
        <x:v>4300</x:v>
      </x:c>
      <x:c r="G60" s="139" t="n">
        <x:v>0.619</x:v>
      </x:c>
      <x:c r="H60" s="139" t="n">
        <x:v>0.381</x:v>
      </x:c>
      <x:c r="I60" s="139" t="n">
        <x:v>0.246</x:v>
      </x:c>
      <x:c r="J60" s="134" t="n">
        <x:v>1160</x:v>
      </x:c>
      <x:c r="K60" s="138" t="b">
        <x:v>0</x:v>
      </x:c>
      <x:c r="L60" s="140" t="n">
        <x:v>3.51</x:v>
      </x:c>
      <x:c r="M60" s="140" t="n">
        <x:v>21.95</x:v>
      </x:c>
      <x:c r="N60" s="141" t="n">
        <x:v>2863000</x:v>
      </x:c>
      <x:c r="O60" s="135" t="n">
        <x:v>8</x:v>
      </x:c>
      <x:c r="P60" s="132" t="str">
        <x:v>FEEDING_AMERICA_MMG_2026</x:v>
      </x:c>
    </x:row>
    <x:row r="61">
      <x:c r="A61" s="136" t="str">
        <x:v>01113</x:v>
      </x:c>
      <x:c r="B61" s="132" t="str">
        <x:v>AL</x:v>
      </x:c>
      <x:c r="C61" s="132" t="str">
        <x:v>Russell County, Alabama</x:v>
      </x:c>
      <x:c r="D61" s="135" t="n">
        <x:v>2024</x:v>
      </x:c>
      <x:c r="E61" s="139" t="n">
        <x:v>0.2</x:v>
      </x:c>
      <x:c r="F61" s="134" t="n">
        <x:v>11750</x:v>
      </x:c>
      <x:c r="G61" s="139" t="n">
        <x:v>0.433</x:v>
      </x:c>
      <x:c r="H61" s="139" t="n">
        <x:v>0.567</x:v>
      </x:c>
      <x:c r="I61" s="139" t="n">
        <x:v>0.298</x:v>
      </x:c>
      <x:c r="J61" s="134" t="n">
        <x:v>4270</x:v>
      </x:c>
      <x:c r="K61" s="138" t="b">
        <x:v>0</x:v>
      </x:c>
      <x:c r="L61" s="140" t="n">
        <x:v>3.54</x:v>
      </x:c>
      <x:c r="M61" s="140" t="n">
        <x:v>22.17</x:v>
      </x:c>
      <x:c r="N61" s="141" t="n">
        <x:v>7903000</x:v>
      </x:c>
      <x:c r="O61" s="135" t="n">
        <x:v>2</x:v>
      </x:c>
      <x:c r="P61" s="132" t="str">
        <x:v>FEEDING_AMERICA_MMG_2026</x:v>
      </x:c>
    </x:row>
    <x:row r="62">
      <x:c r="A62" s="136" t="str">
        <x:v>01115</x:v>
      </x:c>
      <x:c r="B62" s="132" t="str">
        <x:v>AL</x:v>
      </x:c>
      <x:c r="C62" s="132" t="str">
        <x:v>St. Clair County, Alabama</x:v>
      </x:c>
      <x:c r="D62" s="135" t="n">
        <x:v>2024</x:v>
      </x:c>
      <x:c r="E62" s="139" t="n">
        <x:v>0.158</x:v>
      </x:c>
      <x:c r="F62" s="134" t="n">
        <x:v>14840</x:v>
      </x:c>
      <x:c r="G62" s="139" t="n">
        <x:v>0.447</x:v>
      </x:c>
      <x:c r="H62" s="139" t="n">
        <x:v>0.553</x:v>
      </x:c>
      <x:c r="I62" s="139" t="n">
        <x:v>0.2</x:v>
      </x:c>
      <x:c r="J62" s="134" t="n">
        <x:v>4190</x:v>
      </x:c>
      <x:c r="K62" s="138" t="b">
        <x:v>0</x:v>
      </x:c>
      <x:c r="L62" s="140" t="n">
        <x:v>3.84</x:v>
      </x:c>
      <x:c r="M62" s="140" t="n">
        <x:v>24.05</x:v>
      </x:c>
      <x:c r="N62" s="141" t="n">
        <x:v>10827000</x:v>
      </x:c>
      <x:c r="O62" s="135" t="n">
        <x:v>1</x:v>
      </x:c>
      <x:c r="P62" s="132" t="str">
        <x:v>FEEDING_AMERICA_MMG_2026</x:v>
      </x:c>
    </x:row>
    <x:row r="63">
      <x:c r="A63" s="136" t="str">
        <x:v>01117</x:v>
      </x:c>
      <x:c r="B63" s="132" t="str">
        <x:v>AL</x:v>
      </x:c>
      <x:c r="C63" s="132" t="str">
        <x:v>Shelby County, Alabama</x:v>
      </x:c>
      <x:c r="D63" s="135" t="n">
        <x:v>2024</x:v>
      </x:c>
      <x:c r="E63" s="139" t="n">
        <x:v>0.131</x:v>
      </x:c>
      <x:c r="F63" s="134" t="n">
        <x:v>30190</x:v>
      </x:c>
      <x:c r="G63" s="139" t="n">
        <x:v>0.33</x:v>
      </x:c>
      <x:c r="H63" s="139" t="n">
        <x:v>0.67</x:v>
      </x:c>
      <x:c r="I63" s="139" t="n">
        <x:v>0.157</x:v>
      </x:c>
      <x:c r="J63" s="134" t="n">
        <x:v>8230</x:v>
      </x:c>
      <x:c r="K63" s="138" t="b">
        <x:v>0</x:v>
      </x:c>
      <x:c r="L63" s="140" t="n">
        <x:v>4.13</x:v>
      </x:c>
      <x:c r="M63" s="140" t="n">
        <x:v>25.87</x:v>
      </x:c>
      <x:c r="N63" s="141" t="n">
        <x:v>23695000</x:v>
      </x:c>
      <x:c r="O63" s="135" t="n">
        <x:v>1</x:v>
      </x:c>
      <x:c r="P63" s="132" t="str">
        <x:v>FEEDING_AMERICA_MMG_2026</x:v>
      </x:c>
    </x:row>
    <x:row r="64">
      <x:c r="A64" s="136" t="str">
        <x:v>01119</x:v>
      </x:c>
      <x:c r="B64" s="132" t="str">
        <x:v>AL</x:v>
      </x:c>
      <x:c r="C64" s="132" t="str">
        <x:v>Sumter County, Alabama</x:v>
      </x:c>
      <x:c r="D64" s="135" t="n">
        <x:v>2024</x:v>
      </x:c>
      <x:c r="E64" s="139" t="n">
        <x:v>0.188</x:v>
      </x:c>
      <x:c r="F64" s="134" t="n">
        <x:v>2240</x:v>
      </x:c>
      <x:c r="G64" s="139" t="n">
        <x:v>0.22</x:v>
      </x:c>
      <x:c r="H64" s="139" t="n">
        <x:v>0.78</x:v>
      </x:c>
      <x:c r="I64" s="139" t="n">
        <x:v>0.315</x:v>
      </x:c>
      <x:c r="J64" s="134" t="n">
        <x:v>720</x:v>
      </x:c>
      <x:c r="K64" s="138" t="b">
        <x:v>1</x:v>
      </x:c>
      <x:c r="L64" s="140" t="n">
        <x:v>3.51</x:v>
      </x:c>
      <x:c r="M64" s="140" t="n">
        <x:v>21.98</x:v>
      </x:c>
      <x:c r="N64" s="141" t="n">
        <x:v>1493000</x:v>
      </x:c>
      <x:c r="O64" s="135" t="n">
        <x:v>8</x:v>
      </x:c>
      <x:c r="P64" s="132" t="str">
        <x:v>FEEDING_AMERICA_MMG_2026</x:v>
      </x:c>
    </x:row>
    <x:row r="65">
      <x:c r="A65" s="136" t="str">
        <x:v>01121</x:v>
      </x:c>
      <x:c r="B65" s="132" t="str">
        <x:v>AL</x:v>
      </x:c>
      <x:c r="C65" s="132" t="str">
        <x:v>Talladega County, Alabama</x:v>
      </x:c>
      <x:c r="D65" s="135" t="n">
        <x:v>2024</x:v>
      </x:c>
      <x:c r="E65" s="139" t="n">
        <x:v>0.19</x:v>
      </x:c>
      <x:c r="F65" s="134" t="n">
        <x:v>15420</x:v>
      </x:c>
      <x:c r="G65" s="139" t="n">
        <x:v>0.501</x:v>
      </x:c>
      <x:c r="H65" s="139" t="n">
        <x:v>0.499</x:v>
      </x:c>
      <x:c r="I65" s="139" t="n">
        <x:v>0.279</x:v>
      </x:c>
      <x:c r="J65" s="134" t="n">
        <x:v>4660</x:v>
      </x:c>
      <x:c r="K65" s="138" t="b">
        <x:v>0</x:v>
      </x:c>
      <x:c r="L65" s="140" t="n">
        <x:v>3.68</x:v>
      </x:c>
      <x:c r="M65" s="140" t="n">
        <x:v>23.06</x:v>
      </x:c>
      <x:c r="N65" s="141" t="n">
        <x:v>10784000</x:v>
      </x:c>
      <x:c r="O65" s="135" t="n">
        <x:v>4</x:v>
      </x:c>
      <x:c r="P65" s="132" t="str">
        <x:v>FEEDING_AMERICA_MMG_2026</x:v>
      </x:c>
    </x:row>
    <x:row r="66">
      <x:c r="A66" s="136" t="str">
        <x:v>01123</x:v>
      </x:c>
      <x:c r="B66" s="132" t="str">
        <x:v>AL</x:v>
      </x:c>
      <x:c r="C66" s="132" t="str">
        <x:v>Tallapoosa County, Alabama</x:v>
      </x:c>
      <x:c r="D66" s="135" t="n">
        <x:v>2024</x:v>
      </x:c>
      <x:c r="E66" s="139" t="n">
        <x:v>0.188</x:v>
      </x:c>
      <x:c r="F66" s="134" t="n">
        <x:v>7680</x:v>
      </x:c>
      <x:c r="G66" s="139" t="n">
        <x:v>0.487</x:v>
      </x:c>
      <x:c r="H66" s="139" t="n">
        <x:v>0.513</x:v>
      </x:c>
      <x:c r="I66" s="139" t="n">
        <x:v>0.269</x:v>
      </x:c>
      <x:c r="J66" s="134" t="n">
        <x:v>2210</x:v>
      </x:c>
      <x:c r="K66" s="138" t="b">
        <x:v>0</x:v>
      </x:c>
      <x:c r="L66" s="140" t="n">
        <x:v>3.74</x:v>
      </x:c>
      <x:c r="M66" s="140" t="n">
        <x:v>23.38</x:v>
      </x:c>
      <x:c r="N66" s="141" t="n">
        <x:v>5448000</x:v>
      </x:c>
      <x:c r="O66" s="135" t="n">
        <x:v>6</x:v>
      </x:c>
      <x:c r="P66" s="132" t="str">
        <x:v>FEEDING_AMERICA_MMG_2026</x:v>
      </x:c>
    </x:row>
    <x:row r="67">
      <x:c r="A67" s="136" t="str">
        <x:v>01125</x:v>
      </x:c>
      <x:c r="B67" s="132" t="str">
        <x:v>AL</x:v>
      </x:c>
      <x:c r="C67" s="132" t="str">
        <x:v>Tuscaloosa County, Alabama</x:v>
      </x:c>
      <x:c r="D67" s="135" t="n">
        <x:v>2024</x:v>
      </x:c>
      <x:c r="E67" s="139" t="n">
        <x:v>0.164</x:v>
      </x:c>
      <x:c r="F67" s="134" t="n">
        <x:v>38950</x:v>
      </x:c>
      <x:c r="G67" s="139" t="n">
        <x:v>0.424</x:v>
      </x:c>
      <x:c r="H67" s="139" t="n">
        <x:v>0.576</x:v>
      </x:c>
      <x:c r="I67" s="139" t="n">
        <x:v>0.22</x:v>
      </x:c>
      <x:c r="J67" s="134" t="n">
        <x:v>10670</x:v>
      </x:c>
      <x:c r="K67" s="138" t="b">
        <x:v>0</x:v>
      </x:c>
      <x:c r="L67" s="140" t="n">
        <x:v>4.15</x:v>
      </x:c>
      <x:c r="M67" s="140" t="n">
        <x:v>25.96</x:v>
      </x:c>
      <x:c r="N67" s="141" t="n">
        <x:v>30666000</x:v>
      </x:c>
      <x:c r="O67" s="135" t="n">
        <x:v>2</x:v>
      </x:c>
      <x:c r="P67" s="132" t="str">
        <x:v>FEEDING_AMERICA_MMG_2026</x:v>
      </x:c>
    </x:row>
    <x:row r="68">
      <x:c r="A68" s="136" t="str">
        <x:v>01127</x:v>
      </x:c>
      <x:c r="B68" s="132" t="str">
        <x:v>AL</x:v>
      </x:c>
      <x:c r="C68" s="132" t="str">
        <x:v>Walker County, Alabama</x:v>
      </x:c>
      <x:c r="D68" s="135" t="n">
        <x:v>2024</x:v>
      </x:c>
      <x:c r="E68" s="139" t="n">
        <x:v>0.213</x:v>
      </x:c>
      <x:c r="F68" s="134" t="n">
        <x:v>13810</x:v>
      </x:c>
      <x:c r="G68" s="139" t="n">
        <x:v>0.648</x:v>
      </x:c>
      <x:c r="H68" s="139" t="n">
        <x:v>0.352</x:v>
      </x:c>
      <x:c r="I68" s="139" t="n">
        <x:v>0.273</x:v>
      </x:c>
      <x:c r="J68" s="134" t="n">
        <x:v>4060</x:v>
      </x:c>
      <x:c r="K68" s="138" t="b">
        <x:v>0</x:v>
      </x:c>
      <x:c r="L68" s="140" t="n">
        <x:v>3.51</x:v>
      </x:c>
      <x:c r="M68" s="140" t="n">
        <x:v>21.98</x:v>
      </x:c>
      <x:c r="N68" s="141" t="n">
        <x:v>9210000</x:v>
      </x:c>
      <x:c r="O68" s="135" t="n">
        <x:v>1</x:v>
      </x:c>
      <x:c r="P68" s="132" t="str">
        <x:v>FEEDING_AMERICA_MMG_2026</x:v>
      </x:c>
    </x:row>
    <x:row r="69">
      <x:c r="A69" s="136" t="str">
        <x:v>01129</x:v>
      </x:c>
      <x:c r="B69" s="132" t="str">
        <x:v>AL</x:v>
      </x:c>
      <x:c r="C69" s="132" t="str">
        <x:v>Washington County, Alabama</x:v>
      </x:c>
      <x:c r="D69" s="135" t="n">
        <x:v>2024</x:v>
      </x:c>
      <x:c r="E69" s="139" t="n">
        <x:v>0.158</x:v>
      </x:c>
      <x:c r="F69" s="134" t="n">
        <x:v>2390</x:v>
      </x:c>
      <x:c r="G69" s="139" t="n">
        <x:v>0.551</x:v>
      </x:c>
      <x:c r="H69" s="139" t="n">
        <x:v>0.449</x:v>
      </x:c>
      <x:c r="I69" s="139" t="n">
        <x:v>0.191</x:v>
      </x:c>
      <x:c r="J69" s="134" t="n">
        <x:v>580</x:v>
      </x:c>
      <x:c r="K69" s="138" t="b">
        <x:v>1</x:v>
      </x:c>
      <x:c r="L69" s="140" t="n">
        <x:v>3.42</x:v>
      </x:c>
      <x:c r="M69" s="140" t="n">
        <x:v>21.42</x:v>
      </x:c>
      <x:c r="N69" s="141" t="n">
        <x:v>1553000</x:v>
      </x:c>
      <x:c r="O69" s="135" t="n">
        <x:v>8</x:v>
      </x:c>
      <x:c r="P69" s="132" t="str">
        <x:v>FEEDING_AMERICA_MMG_2026</x:v>
      </x:c>
    </x:row>
    <x:row r="70">
      <x:c r="A70" s="136" t="str">
        <x:v>01131</x:v>
      </x:c>
      <x:c r="B70" s="132" t="str">
        <x:v>AL</x:v>
      </x:c>
      <x:c r="C70" s="132" t="str">
        <x:v>Wilcox County, Alabama</x:v>
      </x:c>
      <x:c r="D70" s="135" t="n">
        <x:v>2024</x:v>
      </x:c>
      <x:c r="E70" s="139" t="n">
        <x:v>0.188</x:v>
      </x:c>
      <x:c r="F70" s="134" t="n">
        <x:v>1910</x:v>
      </x:c>
      <x:c r="G70" s="139" t="n">
        <x:v>0.267</x:v>
      </x:c>
      <x:c r="H70" s="139" t="n">
        <x:v>0.733</x:v>
      </x:c>
      <x:c r="I70" s="139" t="n">
        <x:v>0.326</x:v>
      </x:c>
      <x:c r="J70" s="134" t="n">
        <x:v>730</x:v>
      </x:c>
      <x:c r="K70" s="138" t="b">
        <x:v>1</x:v>
      </x:c>
      <x:c r="L70" s="140" t="n">
        <x:v>3.54</x:v>
      </x:c>
      <x:c r="M70" s="140" t="n">
        <x:v>22.14</x:v>
      </x:c>
      <x:c r="N70" s="141" t="n">
        <x:v>1283000</x:v>
      </x:c>
      <x:c r="O70" s="135" t="n">
        <x:v>9</x:v>
      </x:c>
      <x:c r="P70" s="132" t="str">
        <x:v>FEEDING_AMERICA_MMG_2026</x:v>
      </x:c>
    </x:row>
    <x:row r="71">
      <x:c r="A71" s="136" t="str">
        <x:v>01133</x:v>
      </x:c>
      <x:c r="B71" s="132" t="str">
        <x:v>AL</x:v>
      </x:c>
      <x:c r="C71" s="132" t="str">
        <x:v>Winston County, Alabama</x:v>
      </x:c>
      <x:c r="D71" s="135" t="n">
        <x:v>2024</x:v>
      </x:c>
      <x:c r="E71" s="139" t="n">
        <x:v>0.222</x:v>
      </x:c>
      <x:c r="F71" s="134" t="n">
        <x:v>5250</x:v>
      </x:c>
      <x:c r="G71" s="139" t="n">
        <x:v>0.78</x:v>
      </x:c>
      <x:c r="H71" s="139" t="n">
        <x:v>0.22</x:v>
      </x:c>
      <x:c r="I71" s="139" t="n">
        <x:v>0.293</x:v>
      </x:c>
      <x:c r="J71" s="134" t="n">
        <x:v>1430</x:v>
      </x:c>
      <x:c r="K71" s="138" t="b">
        <x:v>0</x:v>
      </x:c>
      <x:c r="L71" s="140" t="n">
        <x:v>3.33</x:v>
      </x:c>
      <x:c r="M71" s="140" t="n">
        <x:v>20.85</x:v>
      </x:c>
      <x:c r="N71" s="141" t="n">
        <x:v>3321000</x:v>
      </x:c>
      <x:c r="O71" s="135" t="n">
        <x:v>8</x:v>
      </x:c>
      <x:c r="P71" s="132" t="str">
        <x:v>FEEDING_AMERICA_MMG_2026</x:v>
      </x:c>
    </x:row>
  </x:sheetData>
  <x:mergeCells>
    <x:mergeCell ref="A1:P1"/>
    <x:mergeCell ref="A2:P2"/>
  </x:mergeCells>
  <x:pageMargins left="0.7" right="0.7" top="0.75" bottom="0.75" header="0.3" footer="0.3"/>
  <x:tableParts count="1">
    <x:tablePart xmlns:r="http://schemas.openxmlformats.org/officeDocument/2006/relationships" r:id="R33b73381aca048b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0" hidden="0" customWidth="1"/>
    <x:col min="4" max="4" width="13" hidden="0" customWidth="1"/>
    <x:col min="5" max="5" width="21" hidden="0" customWidth="1"/>
    <x:col min="6" max="6" width="19" hidden="0" customWidth="1"/>
    <x:col min="7" max="7" width="24" hidden="0" customWidth="1"/>
    <x:col min="8" max="8" width="22" hidden="0" customWidth="1"/>
    <x:col min="9" max="9" width="21" hidden="0" customWidth="1"/>
    <x:col min="10" max="10" width="20" hidden="0" customWidth="1"/>
    <x:col min="11" max="11" width="20" hidden="0" customWidth="1"/>
    <x:col min="12" max="12" width="19" hidden="0" customWidth="1"/>
    <x:col min="13" max="13" width="23" hidden="0" customWidth="1"/>
    <x:col min="14" max="14" width="22" hidden="0" customWidth="1"/>
    <x:col min="15" max="15" width="15" hidden="0" customWidth="1"/>
    <x:col min="16" max="16" width="26" hidden="0" customWidth="1"/>
    <x:col min="17" max="17" width="24" hidden="0" customWidth="1"/>
    <x:col min="18" max="18" width="28" hidden="0" customWidth="1"/>
  </x:cols>
  <x:sheetData>
    <x:row r="1" ht="34" customHeight="1">
      <x:c r="A1" s="3" t="str">
        <x:v>Alabama modeled state food insecurity, 2024</x:v>
      </x:c>
      <x:c r="B1" s="3"/>
      <x:c r="C1" s="3"/>
      <x:c r="D1" s="3"/>
      <x:c r="E1" s="3"/>
      <x:c r="F1" s="3"/>
      <x:c r="G1" s="3"/>
      <x:c r="H1" s="3"/>
      <x:c r="I1" s="3"/>
      <x:c r="J1" s="3"/>
      <x:c r="K1" s="3"/>
      <x:c r="L1" s="3"/>
      <x:c r="M1" s="3"/>
      <x:c r="N1" s="3"/>
      <x:c r="O1" s="3"/>
      <x:c r="P1" s="3"/>
      <x:c r="Q1" s="3"/>
      <x:c r="R1" s="3"/>
    </x:row>
    <x:row r="2" ht="30" customHeight="1">
      <x:c r="A2" s="7" t="str">
        <x:v>Feeding America Map the Meal Gap 2026; state estimates aggregate congressional-district results and are not forced to equal county sums</x:v>
      </x:c>
      <x:c r="B2" s="7"/>
      <x:c r="C2" s="7"/>
      <x:c r="D2" s="7"/>
      <x:c r="E2" s="7"/>
      <x:c r="F2" s="7"/>
      <x:c r="G2" s="7"/>
      <x:c r="H2" s="7"/>
      <x:c r="I2" s="7"/>
      <x:c r="J2" s="7"/>
      <x:c r="K2" s="7"/>
      <x:c r="L2" s="7"/>
      <x:c r="M2" s="7"/>
      <x:c r="N2" s="7"/>
      <x:c r="O2" s="7"/>
      <x:c r="P2" s="7"/>
      <x:c r="Q2" s="7"/>
      <x:c r="R2" s="7"/>
    </x:row>
    <x:row r="4" ht="34" customHeight="1">
      <x:c r="A4" s="16" t="str">
        <x:v>state_fips</x:v>
      </x:c>
      <x:c r="B4" s="131" t="str">
        <x:v>state_name</x:v>
      </x:c>
      <x:c r="C4" s="131" t="str">
        <x:v>state_abbr</x:v>
      </x:c>
      <x:c r="D4" s="131" t="str">
        <x:v>observation_year</x:v>
      </x:c>
      <x:c r="E4" s="131" t="str">
        <x:v>overall_food_insecurity_rate</x:v>
      </x:c>
      <x:c r="F4" s="131" t="str">
        <x:v>food_insecure_persons</x:v>
      </x:c>
      <x:c r="G4" s="131" t="str">
        <x:v>food_insecure_at_or_below_snap_threshold_rate</x:v>
      </x:c>
      <x:c r="H4" s="131" t="str">
        <x:v>food_insecure_above_snap_threshold_rate</x:v>
      </x:c>
      <x:c r="I4" s="131" t="str">
        <x:v>child_food_insecurity_rate</x:v>
      </x:c>
      <x:c r="J4" s="131" t="str">
        <x:v>food_insecure_children</x:v>
      </x:c>
      <x:c r="K4" s="131" t="str">
        <x:v>senior_food_insecurity_rate</x:v>
      </x:c>
      <x:c r="L4" s="131" t="str">
        <x:v>food_insecure_seniors</x:v>
      </x:c>
      <x:c r="M4" s="131" t="str">
        <x:v>older_adult_food_insecurity_rate</x:v>
      </x:c>
      <x:c r="N4" s="131" t="str">
        <x:v>food_insecure_older_adults</x:v>
      </x:c>
      <x:c r="O4" s="131" t="str">
        <x:v>cost_per_meal_usd</x:v>
      </x:c>
      <x:c r="P4" s="131" t="str">
        <x:v>weekly_food_budget_shortfall_per_food_insecure_person_usd</x:v>
      </x:c>
      <x:c r="Q4" s="131" t="str">
        <x:v>annual_food_budget_shortfall_usd</x:v>
      </x:c>
      <x:c r="R4" s="17" t="str">
        <x:v>source_id</x:v>
      </x:c>
    </x:row>
    <x:row r="5">
      <x:c r="A5" s="136" t="str">
        <x:v>01</x:v>
      </x:c>
      <x:c r="B5" s="132" t="str">
        <x:v>Alabama</x:v>
      </x:c>
      <x:c r="C5" s="132" t="str">
        <x:v>AL</x:v>
      </x:c>
      <x:c r="D5" s="135" t="n">
        <x:v>2024</x:v>
      </x:c>
      <x:c r="E5" s="139" t="n">
        <x:v>0.178</x:v>
      </x:c>
      <x:c r="F5" s="134" t="n">
        <x:v>919160</x:v>
      </x:c>
      <x:c r="G5" s="139" t="n">
        <x:v>0.452</x:v>
      </x:c>
      <x:c r="H5" s="139" t="n">
        <x:v>0.548</x:v>
      </x:c>
      <x:c r="I5" s="139" t="n">
        <x:v>0.244</x:v>
      </x:c>
      <x:c r="J5" s="134" t="n">
        <x:v>276640</x:v>
      </x:c>
      <x:c r="K5" s="139" t="n">
        <x:v>0.076</x:v>
      </x:c>
      <x:c r="L5" s="134" t="n">
        <x:v>98317</x:v>
      </x:c>
      <x:c r="M5" s="139" t="n">
        <x:v>0.124</x:v>
      </x:c>
      <x:c r="N5" s="134" t="n">
        <x:v>73096</x:v>
      </x:c>
      <x:c r="O5" s="140" t="n">
        <x:v>3.58</x:v>
      </x:c>
      <x:c r="P5" s="140" t="n">
        <x:v>22.41</x:v>
      </x:c>
      <x:c r="Q5" s="141" t="n">
        <x:v>624874000</x:v>
      </x:c>
      <x:c r="R5" s="132" t="str">
        <x:v>FEEDING_AMERICA_MMG_2026</x:v>
      </x:c>
    </x:row>
  </x:sheetData>
  <x:mergeCells>
    <x:mergeCell ref="A1:R1"/>
    <x:mergeCell ref="A2:R2"/>
  </x:mergeCells>
  <x:pageMargins left="0.7" right="0.7" top="0.75" bottom="0.75" header="0.3" footer="0.3"/>
  <x:tableParts count="1">
    <x:tablePart xmlns:r="http://schemas.openxmlformats.org/officeDocument/2006/relationships" r:id="R6bbcde531c34461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24" hidden="0" customWidth="1"/>
    <x:col min="4" max="4" width="20" hidden="0" customWidth="1"/>
    <x:col min="5" max="5" width="20" hidden="0" customWidth="1"/>
    <x:col min="6" max="6" width="25" hidden="0" customWidth="1"/>
    <x:col min="7" max="7" width="25" hidden="0" customWidth="1"/>
    <x:col min="8" max="8" width="16" hidden="0" customWidth="1"/>
    <x:col min="9" max="9" width="16" hidden="0" customWidth="1"/>
  </x:cols>
  <x:sheetData>
    <x:row r="1" ht="34" customHeight="1">
      <x:c r="A1" s="3" t="str">
        <x:v>Road-network threshold sensitivity</x:v>
      </x:c>
      <x:c r="B1" s="3"/>
      <x:c r="C1" s="3"/>
      <x:c r="D1" s="3"/>
      <x:c r="E1" s="3"/>
      <x:c r="F1" s="3"/>
      <x:c r="G1" s="3"/>
      <x:c r="H1" s="3"/>
      <x:c r="I1" s="3"/>
    </x:row>
    <x:row r="2" ht="30" customHeight="1">
      <x:c r="A2" s="7" t="str">
        <x:v>Straight-line distance is excluded; the primary result is the 1-mile urban / 10-mile rural row</x:v>
      </x:c>
      <x:c r="B2" s="7"/>
      <x:c r="C2" s="7"/>
      <x:c r="D2" s="7"/>
      <x:c r="E2" s="7"/>
      <x:c r="F2" s="7"/>
      <x:c r="G2" s="7"/>
      <x:c r="H2" s="7"/>
      <x:c r="I2" s="7"/>
    </x:row>
    <x:row r="4" ht="34" customHeight="1">
      <x:c r="A4" s="16" t="str">
        <x:v>geography</x:v>
      </x:c>
      <x:c r="B4" s="131" t="str">
        <x:v>distance_method</x:v>
      </x:c>
      <x:c r="C4" s="131" t="str">
        <x:v>threshold</x:v>
      </x:c>
      <x:c r="D4" s="131" t="str">
        <x:v>low_access_population</x:v>
      </x:c>
      <x:c r="E4" s="131" t="str">
        <x:v>low_access_population_pct</x:v>
      </x:c>
      <x:c r="F4" s="131" t="str">
        <x:v>low_income_low_access_population</x:v>
      </x:c>
      <x:c r="G4" s="131" t="str">
        <x:v>low_income_low_access_population_pct</x:v>
      </x:c>
      <x:c r="H4" s="131" t="str">
        <x:v>lila_tract_count</x:v>
      </x:c>
      <x:c r="I4" s="17" t="str">
        <x:v>lila_tract_pct</x:v>
      </x:c>
    </x:row>
    <x:row r="5">
      <x:c r="A5" s="132" t="str">
        <x:v>United States</x:v>
      </x:c>
      <x:c r="B5" s="132" t="str">
        <x:v>Driving</x:v>
      </x:c>
      <x:c r="C5" s="132" t="str">
        <x:v>0.5 urban / 10 rural</x:v>
      </x:c>
      <x:c r="D5" s="134" t="n">
        <x:v>134002037</x:v>
      </x:c>
      <x:c r="E5" s="133" t="n">
        <x:v>40.4291228497189</x:v>
      </x:c>
      <x:c r="F5" s="134" t="n">
        <x:v>102183683</x:v>
      </x:c>
      <x:c r="G5" s="133" t="n">
        <x:v>43.55194053854513</x:v>
      </x:c>
      <x:c r="H5" s="134" t="n">
        <x:v>16157</x:v>
      </x:c>
      <x:c r="I5" s="133" t="n">
        <x:v>19.20731344880467</x:v>
      </x:c>
    </x:row>
    <x:row r="6">
      <x:c r="A6" s="132" t="str">
        <x:v>United States</x:v>
      </x:c>
      <x:c r="B6" s="132" t="str">
        <x:v>Driving</x:v>
      </x:c>
      <x:c r="C6" s="132" t="str">
        <x:v>1 urban / 10 rural</x:v>
      </x:c>
      <x:c r="D6" s="134" t="n">
        <x:v>62320755</x:v>
      </x:c>
      <x:c r="E6" s="133" t="n">
        <x:v>18.802501188711283</x:v>
      </x:c>
      <x:c r="F6" s="134" t="n">
        <x:v>49667746</x:v>
      </x:c>
      <x:c r="G6" s="133" t="n">
        <x:v>21.169003278885167</x:v>
      </x:c>
      <x:c r="H6" s="134" t="n">
        <x:v>6301</x:v>
      </x:c>
      <x:c r="I6" s="133" t="n">
        <x:v>7.490578822858094</x:v>
      </x:c>
    </x:row>
    <x:row r="7">
      <x:c r="A7" s="132" t="str">
        <x:v>United States</x:v>
      </x:c>
      <x:c r="B7" s="132" t="str">
        <x:v>Driving</x:v>
      </x:c>
      <x:c r="C7" s="132" t="str">
        <x:v>1 urban / 20 rural</x:v>
      </x:c>
      <x:c r="D7" s="134" t="n">
        <x:v>60446885</x:v>
      </x:c>
      <x:c r="E7" s="133" t="n">
        <x:v>18.23714470510497</x:v>
      </x:c>
      <x:c r="F7" s="134" t="n">
        <x:v>48422948</x:v>
      </x:c>
      <x:c r="G7" s="133" t="n">
        <x:v>20.638455084820762</x:v>
      </x:c>
      <x:c r="H7" s="134" t="n">
        <x:v>5780</x:v>
      </x:c>
      <x:c r="I7" s="133" t="n">
        <x:v>6.8712181552324685</x:v>
      </x:c>
    </x:row>
    <x:row r="8">
      <x:c r="A8" s="132" t="str">
        <x:v>Project-defined Southeast</x:v>
      </x:c>
      <x:c r="B8" s="132" t="str">
        <x:v>Driving</x:v>
      </x:c>
      <x:c r="C8" s="132" t="str">
        <x:v>0.5 urban / 10 rural</x:v>
      </x:c>
      <x:c r="D8" s="134" t="n">
        <x:v>33961782</x:v>
      </x:c>
      <x:c r="E8" s="133" t="n">
        <x:v>45.355293402835116</x:v>
      </x:c>
      <x:c r="F8" s="134" t="n">
        <x:v>24622271</x:v>
      </x:c>
      <x:c r="G8" s="133" t="n">
        <x:v>48.59337522214321</x:v>
      </x:c>
      <x:c r="H8" s="134" t="n">
        <x:v>4419</x:v>
      </x:c>
      <x:c r="I8" s="133" t="n">
        <x:v>22.76661514683153</x:v>
      </x:c>
    </x:row>
    <x:row r="9">
      <x:c r="A9" s="132" t="str">
        <x:v>Project-defined Southeast</x:v>
      </x:c>
      <x:c r="B9" s="132" t="str">
        <x:v>Driving</x:v>
      </x:c>
      <x:c r="C9" s="132" t="str">
        <x:v>1 urban / 10 rural</x:v>
      </x:c>
      <x:c r="D9" s="134" t="n">
        <x:v>17832715</x:v>
      </x:c>
      <x:c r="E9" s="133" t="n">
        <x:v>23.81524093742015</x:v>
      </x:c>
      <x:c r="F9" s="134" t="n">
        <x:v>13681611</x:v>
      </x:c>
      <x:c r="G9" s="133" t="n">
        <x:v>27.001394670962803</x:v>
      </x:c>
      <x:c r="H9" s="134" t="n">
        <x:v>2154</x:v>
      </x:c>
      <x:c r="I9" s="133" t="n">
        <x:v>11.097372488408038</x:v>
      </x:c>
    </x:row>
    <x:row r="10">
      <x:c r="A10" s="132" t="str">
        <x:v>Project-defined Southeast</x:v>
      </x:c>
      <x:c r="B10" s="132" t="str">
        <x:v>Driving</x:v>
      </x:c>
      <x:c r="C10" s="132" t="str">
        <x:v>1 urban / 20 rural</x:v>
      </x:c>
      <x:c r="D10" s="134" t="n">
        <x:v>17528804</x:v>
      </x:c>
      <x:c r="E10" s="133" t="n">
        <x:v>23.40937376079941</x:v>
      </x:c>
      <x:c r="F10" s="134" t="n">
        <x:v>13505958</x:v>
      </x:c>
      <x:c r="G10" s="133" t="n">
        <x:v>26.65473403442383</x:v>
      </x:c>
      <x:c r="H10" s="134" t="n">
        <x:v>2061</x:v>
      </x:c>
      <x:c r="I10" s="133" t="n">
        <x:v>10.61823802163833</x:v>
      </x:c>
    </x:row>
    <x:row r="11">
      <x:c r="A11" s="132" t="str">
        <x:v>Alabama</x:v>
      </x:c>
      <x:c r="B11" s="132" t="str">
        <x:v>Driving</x:v>
      </x:c>
      <x:c r="C11" s="132" t="str">
        <x:v>0.5 urban / 10 rural</x:v>
      </x:c>
      <x:c r="D11" s="134" t="n">
        <x:v>1708505</x:v>
      </x:c>
      <x:c r="E11" s="133" t="n">
        <x:v>34.00497862479373</x:v>
      </x:c>
      <x:c r="F11" s="134" t="n">
        <x:v>1165090</x:v>
      </x:c>
      <x:c r="G11" s="133" t="n">
        <x:v>35.91630205958686</x:v>
      </x:c>
      <x:c r="H11" s="134" t="n">
        <x:v>316</x:v>
      </x:c>
      <x:c r="I11" s="133" t="n">
        <x:v>22.00557103064067</x:v>
      </x:c>
    </x:row>
    <x:row r="12">
      <x:c r="A12" s="132" t="str">
        <x:v>Alabama</x:v>
      </x:c>
      <x:c r="B12" s="132" t="str">
        <x:v>Driving</x:v>
      </x:c>
      <x:c r="C12" s="132" t="str">
        <x:v>1 urban / 10 rural</x:v>
      </x:c>
      <x:c r="D12" s="134" t="n">
        <x:v>895423</x:v>
      </x:c>
      <x:c r="E12" s="133" t="n">
        <x:v>17.821920319313477</x:v>
      </x:c>
      <x:c r="F12" s="134" t="n">
        <x:v>656013</x:v>
      </x:c>
      <x:c r="G12" s="133" t="n">
        <x:v>20.222953645654634</x:v>
      </x:c>
      <x:c r="H12" s="134" t="n">
        <x:v>151</x:v>
      </x:c>
      <x:c r="I12" s="133" t="n">
        <x:v>10.515320334261839</x:v>
      </x:c>
    </x:row>
    <x:row r="13">
      <x:c r="A13" s="132" t="str">
        <x:v>Alabama</x:v>
      </x:c>
      <x:c r="B13" s="132" t="str">
        <x:v>Driving</x:v>
      </x:c>
      <x:c r="C13" s="132" t="str">
        <x:v>1 urban / 20 rural</x:v>
      </x:c>
      <x:c r="D13" s="134" t="n">
        <x:v>860258</x:v>
      </x:c>
      <x:c r="E13" s="133" t="n">
        <x:v>17.122018900622358</x:v>
      </x:c>
      <x:c r="F13" s="134" t="n">
        <x:v>636383</x:v>
      </x:c>
      <x:c r="G13" s="133" t="n">
        <x:v>19.617818411956215</x:v>
      </x:c>
      <x:c r="H13" s="134" t="n">
        <x:v>139</x:v>
      </x:c>
      <x:c r="I13" s="133" t="n">
        <x:v>9.67966573816156</x:v>
      </x:c>
    </x:row>
  </x:sheetData>
  <x:mergeCells>
    <x:mergeCell ref="A1:I1"/>
    <x:mergeCell ref="A2:I2"/>
  </x:mergeCells>
  <x:conditionalFormatting sqref="A5:I13">
    <x:cfRule type="expression" dxfId="1" priority="1">
      <x:formula>AND($B5="Driving",$C5="1 urban / 10 rural")</x:formula>
    </x:cfRule>
  </x:conditionalFormatting>
  <x:pageMargins left="0.7" right="0.7" top="0.75" bottom="0.75" header="0.3" footer="0.3"/>
  <x:tableParts count="1">
    <x:tablePart xmlns:r="http://schemas.openxmlformats.org/officeDocument/2006/relationships" r:id="R464f4c2b4cea49c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39" hidden="0" customWidth="1"/>
    <x:col min="2" max="2" width="13" hidden="0" customWidth="1"/>
    <x:col min="3" max="3" width="20" hidden="0" customWidth="1"/>
    <x:col min="4" max="4" width="36" hidden="0" customWidth="1"/>
    <x:col min="5" max="5" width="86" hidden="0" customWidth="1"/>
  </x:cols>
  <x:sheetData>
    <x:row r="1" ht="34" customHeight="1">
      <x:c r="A1" s="3" t="str">
        <x:v>Quality-assurance results</x:v>
      </x:c>
      <x:c r="B1" s="3"/>
      <x:c r="C1" s="3"/>
      <x:c r="D1" s="3"/>
      <x:c r="E1" s="3"/>
    </x:row>
    <x:row r="2" ht="30" customHeight="1">
      <x:c r="A2" s="7" t="str">
        <x:v>No blocking failures; review items document source exceptions and the expected MMG county-to-state difference</x:v>
      </x:c>
      <x:c r="B2" s="7"/>
      <x:c r="C2" s="7"/>
      <x:c r="D2" s="7"/>
      <x:c r="E2" s="7"/>
    </x:row>
    <x:row r="4" ht="34" customHeight="1">
      <x:c r="A4" s="16" t="str">
        <x:v>check</x:v>
      </x:c>
      <x:c r="B4" s="131" t="str">
        <x:v>status</x:v>
      </x:c>
      <x:c r="C4" s="131" t="str">
        <x:v>observed</x:v>
      </x:c>
      <x:c r="D4" s="131" t="str">
        <x:v>expected</x:v>
      </x:c>
      <x:c r="E4" s="17" t="str">
        <x:v>note</x:v>
      </x:c>
    </x:row>
    <x:row r="5">
      <x:c r="A5" s="142" t="str">
        <x:v>SRAM normalized row count</x:v>
      </x:c>
      <x:c r="B5" s="142" t="str">
        <x:v>PASS</x:v>
      </x:c>
      <x:c r="C5" s="142" t="n">
        <x:v>84119</x:v>
      </x:c>
      <x:c r="D5" s="142" t="str">
        <x:v>84,119</x:v>
      </x:c>
      <x:c r="E5" s="142"/>
    </x:row>
    <x:row r="6">
      <x:c r="A6" s="142" t="str">
        <x:v>SRAM geography coverage</x:v>
      </x:c>
      <x:c r="B6" s="142" t="str">
        <x:v>PASS</x:v>
      </x:c>
      <x:c r="C6" s="142" t="n">
        <x:v>51</x:v>
      </x:c>
      <x:c r="D6" s="142" t="str">
        <x:v>50 states plus D.C.</x:v>
      </x:c>
      <x:c r="E6" s="142"/>
    </x:row>
    <x:row r="7">
      <x:c r="A7" s="142" t="str">
        <x:v>SRAM duplicate GEOID</x:v>
      </x:c>
      <x:c r="B7" s="142" t="str">
        <x:v>PASS</x:v>
      </x:c>
      <x:c r="C7" s="142" t="n">
        <x:v>0</x:v>
      </x:c>
      <x:c r="D7" s="142" t="str">
        <x:v>0</x:v>
      </x:c>
      <x:c r="E7" s="142"/>
    </x:row>
    <x:row r="8">
      <x:c r="A8" s="142" t="str">
        <x:v>GEOID normalization impact</x:v>
      </x:c>
      <x:c r="B8" s="142" t="str">
        <x:v>PASS</x:v>
      </x:c>
      <x:c r="C8" s="142" t="n">
        <x:v>15636</x:v>
      </x:c>
      <x:c r="D8" s="142" t="str">
        <x:v>Document and repair leading-zero loss</x:v>
      </x:c>
      <x:c r="E8" s="142" t="str">
        <x:v>General characteristics dropped leading zeros for state FIPS codes below 10; zfill(11) restored matches.</x:v>
      </x:c>
    </x:row>
    <x:row r="9">
      <x:c r="A9" s="142" t="str">
        <x:v>Latest state food-security rows</x:v>
      </x:c>
      <x:c r="B9" s="142" t="str">
        <x:v>PASS</x:v>
      </x:c>
      <x:c r="C9" s="142" t="n">
        <x:v>52</x:v>
      </x:c>
      <x:c r="D9" s="142" t="str">
        <x:v>U.S., 50 states, and D.C. (52 rows)</x:v>
      </x:c>
      <x:c r="E9" s="142"/>
    </x:row>
    <x:row r="10">
      <x:c r="A10" s="142" t="str">
        <x:v>DD_SRAM_LAPOP1_10 does not exceed POP2020</x:v>
      </x:c>
      <x:c r="B10" s="142" t="str">
        <x:v>PASS</x:v>
      </x:c>
      <x:c r="C10" s="142" t="n">
        <x:v>0</x:v>
      </x:c>
      <x:c r="D10" s="142" t="str">
        <x:v>0</x:v>
      </x:c>
      <x:c r="E10" s="142"/>
    </x:row>
    <x:row r="11">
      <x:c r="A11" s="142" t="str">
        <x:v>DD_SRAM_LALOWI1_10 does not exceed TractLOWI</x:v>
      </x:c>
      <x:c r="B11" s="142" t="str">
        <x:v>PASS</x:v>
      </x:c>
      <x:c r="C11" s="142" t="n">
        <x:v>0</x:v>
      </x:c>
      <x:c r="D11" s="142" t="str">
        <x:v>0</x:v>
      </x:c>
      <x:c r="E11" s="142"/>
    </x:row>
    <x:row r="12">
      <x:c r="A12" s="142" t="str">
        <x:v>la_kids_mixed does not exceed TractKids</x:v>
      </x:c>
      <x:c r="B12" s="142" t="str">
        <x:v>PASS</x:v>
      </x:c>
      <x:c r="C12" s="142" t="n">
        <x:v>0</x:v>
      </x:c>
      <x:c r="D12" s="142" t="str">
        <x:v>0</x:v>
      </x:c>
      <x:c r="E12" s="142"/>
    </x:row>
    <x:row r="13">
      <x:c r="A13" s="142" t="str">
        <x:v>la_seniors_mixed does not exceed TractSeniors</x:v>
      </x:c>
      <x:c r="B13" s="142" t="str">
        <x:v>PASS</x:v>
      </x:c>
      <x:c r="C13" s="142" t="n">
        <x:v>0</x:v>
      </x:c>
      <x:c r="D13" s="142" t="str">
        <x:v>0</x:v>
      </x:c>
      <x:c r="E13" s="142"/>
    </x:row>
    <x:row r="14">
      <x:c r="A14" s="142" t="str">
        <x:v>la_hunv_mixed does not exceed TractHUNV</x:v>
      </x:c>
      <x:c r="B14" s="142" t="str">
        <x:v>PASS</x:v>
      </x:c>
      <x:c r="C14" s="142" t="n">
        <x:v>0</x:v>
      </x:c>
      <x:c r="D14" s="142" t="str">
        <x:v>0</x:v>
      </x:c>
      <x:c r="E14" s="142"/>
    </x:row>
    <x:row r="15">
      <x:c r="A15" s="142" t="str">
        <x:v>la_snap_mixed does not exceed TractSNAP</x:v>
      </x:c>
      <x:c r="B15" s="142" t="str">
        <x:v>PASS</x:v>
      </x:c>
      <x:c r="C15" s="142" t="n">
        <x:v>0</x:v>
      </x:c>
      <x:c r="D15" s="142" t="str">
        <x:v>0</x:v>
      </x:c>
      <x:c r="E15" s="142"/>
    </x:row>
    <x:row r="16">
      <x:c r="A16" s="142" t="str">
        <x:v>Primary measure completeness</x:v>
      </x:c>
      <x:c r="B16" s="142" t="str">
        <x:v>REVIEW</x:v>
      </x:c>
      <x:c r="C16" s="142" t="n">
        <x:v>15</x:v>
      </x:c>
      <x:c r="D16" s="142" t="str">
        <x:v>0 or documented source-data exceptions</x:v>
      </x:c>
      <x:c r="E16" s="142" t="str">
        <x:v>Fourteen Suffolk County, New York tracts lack low-income denominators; one zero-population Massachusetts tract lacks the LILA flag. Alabama and the project-defined Southeast are complete.</x:v>
      </x:c>
    </x:row>
    <x:row r="17">
      <x:c r="A17" s="142" t="str">
        <x:v>Alabama geometry join coverage</x:v>
      </x:c>
      <x:c r="B17" s="142" t="str">
        <x:v>PASS</x:v>
      </x:c>
      <x:c r="C17" s="142" t="n">
        <x:v>1436</x:v>
      </x:c>
      <x:c r="D17" s="142" t="str">
        <x:v>1436</x:v>
      </x:c>
      <x:c r="E17" s="142"/>
    </x:row>
    <x:row r="18">
      <x:c r="A18" s="142" t="str">
        <x:v>Map the Meal Gap Alabama county rows</x:v>
      </x:c>
      <x:c r="B18" s="142" t="str">
        <x:v>PASS</x:v>
      </x:c>
      <x:c r="C18" s="142" t="n">
        <x:v>67</x:v>
      </x:c>
      <x:c r="D18" s="142" t="str">
        <x:v>67</x:v>
      </x:c>
      <x:c r="E18" s="142"/>
    </x:row>
    <x:row r="19">
      <x:c r="A19" s="142" t="str">
        <x:v>Map the Meal Gap duplicate county FIPS</x:v>
      </x:c>
      <x:c r="B19" s="142" t="str">
        <x:v>PASS</x:v>
      </x:c>
      <x:c r="C19" s="142" t="n">
        <x:v>0</x:v>
      </x:c>
      <x:c r="D19" s="142" t="str">
        <x:v>0</x:v>
      </x:c>
      <x:c r="E19" s="142"/>
    </x:row>
    <x:row r="20">
      <x:c r="A20" s="142" t="str">
        <x:v>Map the Meal Gap Alabama county FIPS format</x:v>
      </x:c>
      <x:c r="B20" s="142" t="str">
        <x:v>PASS</x:v>
      </x:c>
      <x:c r="C20" s="142" t="n">
        <x:v>1</x:v>
      </x:c>
      <x:c r="D20" s="142" t="str">
        <x:v>Five-digit text beginning 01</x:v>
      </x:c>
      <x:c r="E20" s="142"/>
    </x:row>
    <x:row r="21">
      <x:c r="A21" s="142" t="str">
        <x:v>Map the Meal Gap county rates within 0 to 1</x:v>
      </x:c>
      <x:c r="B21" s="142" t="str">
        <x:v>PASS</x:v>
      </x:c>
      <x:c r="C21" s="142" t="n">
        <x:v>1</x:v>
      </x:c>
      <x:c r="D21" s="142" t="str">
        <x:v>All retained rates</x:v>
      </x:c>
      <x:c r="E21" s="142"/>
    </x:row>
    <x:row r="22">
      <x:c r="A22" s="142" t="str">
        <x:v>Map the Meal Gap Alabama state benchmark</x:v>
      </x:c>
      <x:c r="B22" s="142" t="str">
        <x:v>PASS</x:v>
      </x:c>
      <x:c r="C22" s="142" t="n">
        <x:v>1</x:v>
      </x:c>
      <x:c r="D22" s="142" t="str">
        <x:v>One Alabama row for observation year 2024</x:v>
      </x:c>
      <x:c r="E22" s="142"/>
    </x:row>
    <x:row r="23">
      <x:c r="A23" s="142" t="str">
        <x:v>Map the Meal Gap county to state count reconciliation</x:v>
      </x:c>
      <x:c r="B23" s="142" t="str">
        <x:v>REVIEW</x:v>
      </x:c>
      <x:c r="C23" s="142" t="n">
        <x:v>35450</x:v>
      </x:c>
      <x:c r="D23" s="142" t="str">
        <x:v>Document difference rather than force equality</x:v>
      </x:c>
      <x:c r="E23" s="142" t="str">
        <x:v>State estimates aggregate congressional-district estimates, while county estimates use the county model. The source states that their totals need not match.</x:v>
      </x:c>
    </x:row>
  </x:sheetData>
  <x:mergeCells>
    <x:mergeCell ref="A1:E1"/>
    <x:mergeCell ref="A2:E2"/>
  </x:mergeCells>
  <x:conditionalFormatting sqref="B5:B23">
    <x:cfRule type="containsText" dxfId="2" priority="1" operator="containsText" text="PASS"/>
    <x:cfRule type="containsText" dxfId="3" priority="2" operator="containsText" text="REVIEW"/>
    <x:cfRule type="containsText" dxfId="4" priority="3" operator="containsText" text="FAIL"/>
  </x:conditionalFormatting>
  <x:pageMargins left="0.7" right="0.7" top="0.75" bottom="0.75" header="0.3" footer="0.3"/>
  <x:tableParts count="1">
    <x:tablePart xmlns:r="http://schemas.openxmlformats.org/officeDocument/2006/relationships" r:id="R1c398de5af9c4e24"/>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8" hidden="0" customWidth="1"/>
    <x:col min="2" max="2" width="52" hidden="0" customWidth="1"/>
    <x:col min="3" max="3" width="26" hidden="0" customWidth="1"/>
    <x:col min="4" max="4" width="31" hidden="0" customWidth="1"/>
    <x:col min="5" max="5" width="30" hidden="0" customWidth="1"/>
    <x:col min="6" max="6" width="72" hidden="0" customWidth="1"/>
  </x:cols>
  <x:sheetData>
    <x:row r="1" ht="34" customHeight="1">
      <x:c r="A1" s="3" t="str">
        <x:v>Dataset sufficiency and change recommendations</x:v>
      </x:c>
      <x:c r="B1" s="3"/>
      <x:c r="C1" s="3"/>
      <x:c r="D1" s="3"/>
      <x:c r="E1" s="3"/>
      <x:c r="F1" s="3"/>
    </x:row>
    <x:row r="2" ht="30" customHeight="1">
      <x:c r="A2" s="7" t="str">
        <x:v>KEEP the primary local dataset; add other data only against a declared analytical gap</x:v>
      </x:c>
      <x:c r="B2" s="7"/>
      <x:c r="C2" s="7"/>
      <x:c r="D2" s="7"/>
      <x:c r="E2" s="7"/>
      <x:c r="F2" s="7"/>
    </x:row>
    <x:row r="4" ht="34" customHeight="1">
      <x:c r="A4" s="16" t="str">
        <x:v>source_id</x:v>
      </x:c>
      <x:c r="B4" s="131" t="str">
        <x:v>analytical_purpose</x:v>
      </x:c>
      <x:c r="C4" s="131" t="str">
        <x:v>grain</x:v>
      </x:c>
      <x:c r="D4" s="131" t="str">
        <x:v>vintage</x:v>
      </x:c>
      <x:c r="E4" s="131" t="str">
        <x:v>recommendation</x:v>
      </x:c>
      <x:c r="F4" s="17" t="str">
        <x:v>limitation</x:v>
      </x:c>
    </x:row>
    <x:row r="5">
      <x:c r="A5" s="142" t="str">
        <x:v>FAO_FS</x:v>
      </x:c>
      <x:c r="B5" s="142" t="str">
        <x:v>Global and national food-insecurity context</x:v>
      </x:c>
      <x:c r="C5" s="142" t="str">
        <x:v>Global/region/country</x:v>
      </x:c>
      <x:c r="D5" s="142" t="str">
        <x:v>Current through 2023-2025 for core FIES indicators</x:v>
      </x:c>
      <x:c r="E5" s="142" t="str">
        <x:v>KEEP - context only</x:v>
      </x:c>
      <x:c r="F5" s="142" t="str">
        <x:v>Not comparable to tract retailer access; no U.S. state detail.</x:v>
      </x:c>
    </x:row>
    <x:row r="6">
      <x:c r="A6" s="142" t="str">
        <x:v>FAO_COAHD</x:v>
      </x:c>
      <x:c r="B6" s="142" t="str">
        <x:v>Economic access to a healthy diet</x:v>
      </x:c>
      <x:c r="C6" s="142" t="str">
        <x:v>Global/region/country</x:v>
      </x:c>
      <x:c r="D6" s="142" t="str">
        <x:v>July 2026 release; indicators through 2025</x:v>
      </x:c>
      <x:c r="E6" s="142" t="str">
        <x:v>KEEP - context only</x:v>
      </x:c>
      <x:c r="F6" s="142" t="str">
        <x:v>National and regional estimates; no U.S. state or tract detail.</x:v>
      </x:c>
    </x:row>
    <x:row r="7">
      <x:c r="A7" s="142" t="str">
        <x:v>USDA_FOOD_SECURITY_CSV</x:v>
      </x:c>
      <x:c r="B7" s="142" t="str">
        <x:v>U.S. household food insecurity outcome</x:v>
      </x:c>
      <x:c r="C7" s="142" t="str">
        <x:v>National/state</x:v>
      </x:c>
      <x:c r="D7" s="142" t="str">
        <x:v>2024 annual; 2022-2024 state average</x:v>
      </x:c>
      <x:c r="E7" s="142" t="str">
        <x:v>KEEP - outcome benchmark</x:v>
      </x:c>
      <x:c r="F7" s="142" t="str">
        <x:v>State margins of error are material; no official tract outcome.</x:v>
      </x:c>
    </x:row>
    <x:row r="8">
      <x:c r="A8" s="142" t="str">
        <x:v>USDA_SRAM_2025</x:v>
      </x:c>
      <x:c r="B8" s="142" t="str">
        <x:v>Retailer proximity and low-income/low-access burden</x:v>
      </x:c>
      <x:c r="C8" s="142" t="str">
        <x:v>2020 census tract</x:v>
      </x:c>
      <x:c r="D8" s="142" t="str">
        <x:v>SNAP retailers June 2025; ACS 2020-2024</x:v>
      </x:c>
      <x:c r="E8" s="142" t="str">
        <x:v>KEEP - primary local dataset</x:v>
      </x:c>
      <x:c r="F8" s="142" t="str">
        <x:v>Measures proximity to SNAP-authorized retailers, not price, quality, inventory, transit, or household food insecurity.</x:v>
      </x:c>
    </x:row>
    <x:row r="9">
      <x:c r="A9" s="142" t="str">
        <x:v>CENSUS_TRACTS_AL_2020</x:v>
      </x:c>
      <x:c r="B9" s="142" t="str">
        <x:v>Alabama mapping geometry</x:v>
      </x:c>
      <x:c r="C9" s="142" t="str">
        <x:v>2020 census tract</x:v>
      </x:c>
      <x:c r="D9" s="142" t="str">
        <x:v>2020</x:v>
      </x:c>
      <x:c r="E9" s="142" t="str">
        <x:v>KEEP - mapping support</x:v>
      </x:c>
      <x:c r="F9" s="142" t="str">
        <x:v>Geometry only; must join on an 11-digit text GEOID.</x:v>
      </x:c>
    </x:row>
    <x:row r="10">
      <x:c r="A10" s="142" t="str">
        <x:v>USDA_LRAM_2019</x:v>
      </x:c>
      <x:c r="B10" s="142" t="str">
        <x:v>Large-supermarket retailer-universe sensitivity</x:v>
      </x:c>
      <x:c r="C10" s="142" t="str">
        <x:v>2010 census tract</x:v>
      </x:c>
      <x:c r="D10" s="142" t="str">
        <x:v>2019 retailer list</x:v>
      </x:c>
      <x:c r="E10" s="142" t="str">
        <x:v>OPTIONAL NEXT CRAWL</x:v>
      </x:c>
      <x:c r="F10" s="142" t="str">
        <x:v>Different retailer universe and tract base; use as a sensitivity comparison, not a time series.</x:v>
      </x:c>
    </x:row>
    <x:row r="11">
      <x:c r="A11" s="142" t="str">
        <x:v>USDA_FOOD_ENVIRONMENT_ATLAS</x:v>
      </x:c>
      <x:c r="B11" s="142" t="str">
        <x:v>County-level price, store, assistance, and environment context</x:v>
      </x:c>
      <x:c r="C11" s="142" t="str">
        <x:v>County/state</x:v>
      </x:c>
      <x:c r="D11" s="142" t="str">
        <x:v>Mixed vintages</x:v>
      </x:c>
      <x:c r="E11" s="142" t="str">
        <x:v>ADD ONLY FOR A DECLARED GAP</x:v>
      </x:c>
      <x:c r="F11" s="142" t="str">
        <x:v>Do not add broadly; retain only variables with a specific analytical purpose.</x:v>
      </x:c>
    </x:row>
    <x:row r="12">
      <x:c r="A12" s="142" t="str">
        <x:v>FEEDING_AMERICA_MMG_2026</x:v>
      </x:c>
      <x:c r="B12" s="142" t="str">
        <x:v>Modeled individual food-insecurity and food-cost context</x:v>
      </x:c>
      <x:c r="C12" s="142" t="str">
        <x:v>County/state</x:v>
      </x:c>
      <x:c r="D12" s="142" t="str">
        <x:v>2024 observation year; file updated July 28, 2026</x:v>
      </x:c>
      <x:c r="E12" s="142" t="str">
        <x:v>KEEP - separate outcome layer</x:v>
      </x:c>
      <x:c r="F12" s="142" t="str">
        <x:v>Modeled estimates, not household survey rates or tract results. State estimates aggregate district results, so county sums differ from the state total.</x:v>
      </x:c>
    </x:row>
    <x:row r="13">
      <x:c r="A13" s="142" t="str">
        <x:v>SUBSTATE_FOOD_INSECURITY_OUTCOME</x:v>
      </x:c>
      <x:c r="B13" s="142" t="str">
        <x:v>Tract food-insecurity outcome</x:v>
      </x:c>
      <x:c r="C13" s="142" t="str">
        <x:v>Tract</x:v>
      </x:c>
      <x:c r="D13" s="142" t="str">
        <x:v>No directly comparable tract outcome identified</x:v>
      </x:c>
      <x:c r="E13" s="142" t="str">
        <x:v>GAP - do not infer</x:v>
      </x:c>
      <x:c r="F13" s="142" t="str">
        <x:v>Map the Meal Gap fills the county outcome gap but does not provide tract-level food-insecurity estimates.</x:v>
      </x:c>
    </x:row>
  </x:sheetData>
  <x:mergeCells>
    <x:mergeCell ref="A1:F1"/>
    <x:mergeCell ref="A2:F2"/>
  </x:mergeCells>
  <x:pageMargins left="0.7" right="0.7" top="0.75" bottom="0.75" header="0.3" footer="0.3"/>
  <x:tableParts count="1">
    <x:tablePart xmlns:r="http://schemas.openxmlformats.org/officeDocument/2006/relationships" r:id="R87e1ae2638544b33"/>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32" hidden="0" customWidth="1"/>
    <x:col min="2" max="2" width="23" hidden="0" customWidth="1"/>
    <x:col min="3" max="3" width="76" hidden="0" customWidth="1"/>
    <x:col min="4" max="4" width="16" hidden="0" customWidth="1"/>
    <x:col min="5" max="5" width="68" hidden="0" customWidth="1"/>
  </x:cols>
  <x:sheetData>
    <x:row r="1" ht="34" customHeight="1">
      <x:c r="A1" s="3" t="str">
        <x:v>Analysis variable dictionary</x:v>
      </x:c>
      <x:c r="B1" s="3"/>
      <x:c r="C1" s="3"/>
      <x:c r="D1" s="3"/>
      <x:c r="E1" s="3"/>
    </x:row>
    <x:row r="2" ht="30" customHeight="1">
      <x:c r="A2" s="7" t="str">
        <x:v>Source definitions and processing notes for retained fields</x:v>
      </x:c>
      <x:c r="B2" s="7"/>
      <x:c r="C2" s="7"/>
      <x:c r="D2" s="7"/>
      <x:c r="E2" s="7"/>
    </x:row>
    <x:row r="4" ht="34" customHeight="1">
      <x:c r="A4" s="16" t="str">
        <x:v>field</x:v>
      </x:c>
      <x:c r="B4" s="131" t="str">
        <x:v>source</x:v>
      </x:c>
      <x:c r="C4" s="131" t="str">
        <x:v>definition</x:v>
      </x:c>
      <x:c r="D4" s="131" t="str">
        <x:v>unit</x:v>
      </x:c>
      <x:c r="E4" s="17" t="str">
        <x:v>processing_note</x:v>
      </x:c>
    </x:row>
    <x:row r="5">
      <x:c r="A5" s="142" t="str">
        <x:v>GEOID20</x:v>
      </x:c>
      <x:c r="B5" s="142" t="str">
        <x:v>USDA/Census</x:v>
      </x:c>
      <x:c r="C5" s="142" t="str">
        <x:v>11-digit 2020 census tract identifier</x:v>
      </x:c>
      <x:c r="D5" s="142" t="str">
        <x:v>text</x:v>
      </x:c>
      <x:c r="E5" s="142" t="str">
        <x:v>Leading zeros restored with zfill(11).</x:v>
      </x:c>
    </x:row>
    <x:row r="6">
      <x:c r="A6" s="142" t="str">
        <x:v>DD_SRAM_LAPOP1_10</x:v>
      </x:c>
      <x:c r="B6" s="142" t="str">
        <x:v>USDA SRAM</x:v>
      </x:c>
      <x:c r="C6" s="142" t="str">
        <x:v>Population beyond 1 driving mile in urban tracts or 10 driving miles in rural tracts</x:v>
      </x:c>
      <x:c r="D6" s="142" t="str">
        <x:v>people</x:v>
      </x:c>
      <x:c r="E6" s="142" t="str">
        <x:v>Primary overall retailer-access count.</x:v>
      </x:c>
    </x:row>
    <x:row r="7">
      <x:c r="A7" s="142" t="str">
        <x:v>DD_SRAM_LALOWI1_10</x:v>
      </x:c>
      <x:c r="B7" s="142" t="str">
        <x:v>USDA SRAM</x:v>
      </x:c>
      <x:c r="C7" s="142" t="str">
        <x:v>Low-income population beyond the primary driving-distance threshold</x:v>
      </x:c>
      <x:c r="D7" s="142" t="str">
        <x:v>people</x:v>
      </x:c>
      <x:c r="E7" s="142" t="str">
        <x:v>Primary affected low-income count.</x:v>
      </x:c>
    </x:row>
    <x:row r="8">
      <x:c r="A8" s="142" t="str">
        <x:v>DD_SRAM_LILATracts_1And10</x:v>
      </x:c>
      <x:c r="B8" s="142" t="str">
        <x:v>USDA SRAM</x:v>
      </x:c>
      <x:c r="C8" s="142" t="str">
        <x:v>Official low-income and low-access tract flag at the primary driving-distance threshold</x:v>
      </x:c>
      <x:c r="D8" s="142" t="str">
        <x:v>0/1</x:v>
      </x:c>
      <x:c r="E8" s="142" t="str">
        <x:v>Primary tract classification.</x:v>
      </x:c>
    </x:row>
    <x:row r="9">
      <x:c r="A9" s="142" t="str">
        <x:v>low_access_population_pct</x:v>
      </x:c>
      <x:c r="B9" s="142" t="str">
        <x:v>Derived</x:v>
      </x:c>
      <x:c r="C9" s="142" t="str">
        <x:v>Sum of low-access population divided by sum of 2020 population</x:v>
      </x:c>
      <x:c r="D9" s="142" t="str">
        <x:v>percent</x:v>
      </x:c>
      <x:c r="E9" s="142" t="str">
        <x:v>Never average tract percentages.</x:v>
      </x:c>
    </x:row>
    <x:row r="10">
      <x:c r="A10" s="142" t="str">
        <x:v>low_income_low_access_population_pct</x:v>
      </x:c>
      <x:c r="B10" s="142" t="str">
        <x:v>Derived</x:v>
      </x:c>
      <x:c r="C10" s="142" t="str">
        <x:v>Sum of low-income low-access population divided by sum of low-income population</x:v>
      </x:c>
      <x:c r="D10" s="142" t="str">
        <x:v>percent</x:v>
      </x:c>
      <x:c r="E10" s="142" t="str">
        <x:v>Never average tract percentages.</x:v>
      </x:c>
    </x:row>
    <x:row r="11">
      <x:c r="A11" s="142" t="str">
        <x:v>la_kids_mixed</x:v>
      </x:c>
      <x:c r="B11" s="142" t="str">
        <x:v>Derived from USDA SRAM</x:v>
      </x:c>
      <x:c r="C11" s="142" t="str">
        <x:v>Children beyond 1 mile in urban tracts or 10 miles in rural tracts</x:v>
      </x:c>
      <x:c r="D11" s="142" t="str">
        <x:v>people</x:v>
      </x:c>
      <x:c r="E11" s="142" t="str">
        <x:v>Primary-threshold subgroup count.</x:v>
      </x:c>
    </x:row>
    <x:row r="12">
      <x:c r="A12" s="142" t="str">
        <x:v>la_seniors_mixed</x:v>
      </x:c>
      <x:c r="B12" s="142" t="str">
        <x:v>Derived from USDA SRAM</x:v>
      </x:c>
      <x:c r="C12" s="142" t="str">
        <x:v>Adults age 65+ beyond 1 mile in urban tracts or 10 miles in rural tracts</x:v>
      </x:c>
      <x:c r="D12" s="142" t="str">
        <x:v>people</x:v>
      </x:c>
      <x:c r="E12" s="142" t="str">
        <x:v>Primary-threshold subgroup count.</x:v>
      </x:c>
    </x:row>
    <x:row r="13">
      <x:c r="A13" s="142" t="str">
        <x:v>la_hunv_mixed</x:v>
      </x:c>
      <x:c r="B13" s="142" t="str">
        <x:v>Derived from USDA SRAM</x:v>
      </x:c>
      <x:c r="C13" s="142" t="str">
        <x:v>No-vehicle occupied housing units beyond 1 mile in urban tracts or 10 miles in rural tracts</x:v>
      </x:c>
      <x:c r="D13" s="142" t="str">
        <x:v>housing units</x:v>
      </x:c>
      <x:c r="E13" s="142" t="str">
        <x:v>Housing-unit denominator; not a population rate.</x:v>
      </x:c>
    </x:row>
    <x:row r="14">
      <x:c r="A14" s="142" t="str">
        <x:v>la_snap_mixed</x:v>
      </x:c>
      <x:c r="B14" s="142" t="str">
        <x:v>Derived from USDA SRAM</x:v>
      </x:c>
      <x:c r="C14" s="142" t="str">
        <x:v>SNAP-recipient occupied housing units beyond 1 mile in urban tracts or 10 miles in rural tracts</x:v>
      </x:c>
      <x:c r="D14" s="142" t="str">
        <x:v>housing units</x:v>
      </x:c>
      <x:c r="E14" s="142" t="str">
        <x:v>Housing-unit denominator; not a population rate.</x:v>
      </x:c>
    </x:row>
    <x:row r="15">
      <x:c r="A15" s="142" t="str">
        <x:v>food_insecurity_pct</x:v>
      </x:c>
      <x:c r="B15" s="142" t="str">
        <x:v>USDA CPS-FSS</x:v>
      </x:c>
      <x:c r="C15" s="142" t="str">
        <x:v>Households food insecure at some time during the three-year period</x:v>
      </x:c>
      <x:c r="D15" s="142" t="str">
        <x:v>percent of households</x:v>
      </x:c>
      <x:c r="E15" s="142" t="str">
        <x:v>State estimate with margin of error.</x:v>
      </x:c>
    </x:row>
    <x:row r="16">
      <x:c r="A16" s="142" t="str">
        <x:v>moderate_or_severe_food_insecurity</x:v>
      </x:c>
      <x:c r="B16" s="142" t="str">
        <x:v>FAOSTAT FIES</x:v>
      </x:c>
      <x:c r="C16" s="142" t="str">
        <x:v>Population experiencing moderate or severe food insecurity</x:v>
      </x:c>
      <x:c r="D16" s="142" t="str">
        <x:v>percent of population</x:v>
      </x:c>
      <x:c r="E16" s="142" t="str">
        <x:v>Three-year average with confidence bounds.</x:v>
      </x:c>
    </x:row>
    <x:row r="17">
      <x:c r="A17" s="142" t="str">
        <x:v>healthy_diet_unaffordability</x:v>
      </x:c>
      <x:c r="B17" s="142" t="str">
        <x:v>FAOSTAT CoAHD</x:v>
      </x:c>
      <x:c r="C17" s="142" t="str">
        <x:v>Population unable to afford a healthy diet</x:v>
      </x:c>
      <x:c r="D17" s="142" t="str">
        <x:v>percent of population</x:v>
      </x:c>
      <x:c r="E17" s="142" t="str">
        <x:v>Economic-access indicator.</x:v>
      </x:c>
    </x:row>
    <x:row r="18">
      <x:c r="A18" s="142" t="str">
        <x:v>county_fips</x:v>
      </x:c>
      <x:c r="B18" s="142" t="str">
        <x:v>Feeding America MMG 2026</x:v>
      </x:c>
      <x:c r="C18" s="142" t="str">
        <x:v>Five-digit county FIPS identifier</x:v>
      </x:c>
      <x:c r="D18" s="142" t="str">
        <x:v>text</x:v>
      </x:c>
      <x:c r="E18" s="142" t="str">
        <x:v>Leading zero retained; Alabama values begin 01.</x:v>
      </x:c>
    </x:row>
    <x:row r="19">
      <x:c r="A19" s="142" t="str">
        <x:v>overall_food_insecurity_rate</x:v>
      </x:c>
      <x:c r="B19" s="142" t="str">
        <x:v>Feeding America MMG 2026</x:v>
      </x:c>
      <x:c r="C19" s="142" t="str">
        <x:v>Estimated share of inhabitants who are food insecure</x:v>
      </x:c>
      <x:c r="D19" s="142" t="str">
        <x:v>proportion of people</x:v>
      </x:c>
      <x:c r="E19" s="142" t="str">
        <x:v>Modeled 2024 county or state estimate; multiply by 100 for percent display.</x:v>
      </x:c>
    </x:row>
    <x:row r="20">
      <x:c r="A20" s="142" t="str">
        <x:v>food_insecure_persons</x:v>
      </x:c>
      <x:c r="B20" s="142" t="str">
        <x:v>Feeding America MMG 2026</x:v>
      </x:c>
      <x:c r="C20" s="142" t="str">
        <x:v>Estimated number of inhabitants who are food insecure</x:v>
      </x:c>
      <x:c r="D20" s="142" t="str">
        <x:v>people</x:v>
      </x:c>
      <x:c r="E20" s="142" t="str">
        <x:v>County and state estimates come from different geographic models and are not forced to sum.</x:v>
      </x:c>
    </x:row>
    <x:row r="21">
      <x:c r="A21" s="142" t="str">
        <x:v>child_food_insecurity_rate</x:v>
      </x:c>
      <x:c r="B21" s="142" t="str">
        <x:v>Feeding America MMG 2026</x:v>
      </x:c>
      <x:c r="C21" s="142" t="str">
        <x:v>Estimated share of children under age 18 who are food insecure</x:v>
      </x:c>
      <x:c r="D21" s="142" t="str">
        <x:v>proportion of children</x:v>
      </x:c>
      <x:c r="E21" s="142" t="str">
        <x:v>Modeled 2024 county or state estimate.</x:v>
      </x:c>
    </x:row>
    <x:row r="22">
      <x:c r="A22" s="142" t="str">
        <x:v>cost_per_meal_usd</x:v>
      </x:c>
      <x:c r="B22" s="142" t="str">
        <x:v>Feeding America MMG 2026</x:v>
      </x:c>
      <x:c r="C22" s="142" t="str">
        <x:v>Average amount spent on food per meal by food-secure individuals</x:v>
      </x:c>
      <x:c r="D22" s="142" t="str">
        <x:v>U.S. dollars per meal</x:v>
      </x:c>
      <x:c r="E22" s="142" t="str">
        <x:v>Localized food-cost estimate; market-basket values are flagged when imputed.</x:v>
      </x:c>
    </x:row>
    <x:row r="23">
      <x:c r="A23" s="142" t="str">
        <x:v>annual_food_budget_shortfall_usd</x:v>
      </x:c>
      <x:c r="B23" s="142" t="str">
        <x:v>Feeding America MMG 2026</x:v>
      </x:c>
      <x:c r="C23" s="142" t="str">
        <x:v>Estimated annual additional food dollars needed among people who are food insecure</x:v>
      </x:c>
      <x:c r="D23" s="142" t="str">
        <x:v>U.S. dollars</x:v>
      </x:c>
      <x:c r="E23" s="142" t="str">
        <x:v>Reported separately from retailer proximity.</x:v>
      </x:c>
    </x:row>
  </x:sheetData>
  <x:mergeCells>
    <x:mergeCell ref="A1:E1"/>
    <x:mergeCell ref="A2:E2"/>
  </x:mergeCells>
  <x:pageMargins left="0.7" right="0.7" top="0.75" bottom="0.75" header="0.3" footer="0.3"/>
  <x:tableParts count="1">
    <x:tablePart xmlns:r="http://schemas.openxmlformats.org/officeDocument/2006/relationships" r:id="Rfe3254fb945e4916"/>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20" hidden="0" customWidth="1"/>
    <x:col min="2" max="2" width="38" hidden="0" customWidth="1"/>
    <x:col min="3" max="3" width="50" hidden="0" customWidth="1"/>
    <x:col min="4" max="4" width="82" hidden="0" customWidth="1"/>
    <x:col min="5" max="5" width="28" hidden="0" customWidth="1"/>
    <x:col min="6" max="6" width="39" hidden="0" customWidth="1"/>
    <x:col min="7" max="7" width="27" hidden="0" customWidth="1"/>
    <x:col min="8" max="8" width="16" hidden="0" customWidth="1"/>
    <x:col min="9" max="9" width="68" hidden="0" customWidth="1"/>
    <x:col min="10" max="10" width="70" hidden="0" customWidth="1"/>
  </x:cols>
  <x:sheetData>
    <x:row r="1" ht="34" customHeight="1">
      <x:c r="A1" s="3" t="str">
        <x:v>Frozen official-source manifest</x:v>
      </x:c>
      <x:c r="B1" s="3"/>
      <x:c r="C1" s="3"/>
      <x:c r="D1" s="3"/>
      <x:c r="E1" s="3"/>
      <x:c r="F1" s="3"/>
      <x:c r="G1" s="3"/>
      <x:c r="H1" s="3"/>
      <x:c r="I1" s="3"/>
      <x:c r="J1" s="3"/>
    </x:row>
    <x:row r="2" ht="30" customHeight="1">
      <x:c r="A2" s="7" t="str">
        <x:v>URLs, observation vintages, retrieval timestamps, file sizes, SHA-256 hashes, and access notes</x:v>
      </x:c>
      <x:c r="B2" s="7"/>
      <x:c r="C2" s="7"/>
      <x:c r="D2" s="7"/>
      <x:c r="E2" s="7"/>
      <x:c r="F2" s="7"/>
      <x:c r="G2" s="7"/>
      <x:c r="H2" s="7"/>
      <x:c r="I2" s="7"/>
      <x:c r="J2" s="7"/>
    </x:row>
    <x:row r="4" ht="34" customHeight="1">
      <x:c r="A4" s="16" t="str">
        <x:v>source_id</x:v>
      </x:c>
      <x:c r="B4" s="131" t="str">
        <x:v>publisher</x:v>
      </x:c>
      <x:c r="C4" s="131" t="str">
        <x:v>dataset</x:v>
      </x:c>
      <x:c r="D4" s="131" t="str">
        <x:v>url</x:v>
      </x:c>
      <x:c r="E4" s="131" t="str">
        <x:v>geography</x:v>
      </x:c>
      <x:c r="F4" s="131" t="str">
        <x:v>vintage</x:v>
      </x:c>
      <x:c r="G4" s="131" t="str">
        <x:v>retrieved_at_utc</x:v>
      </x:c>
      <x:c r="H4" s="131" t="str">
        <x:v>bytes</x:v>
      </x:c>
      <x:c r="I4" s="131" t="str">
        <x:v>sha256</x:v>
      </x:c>
      <x:c r="J4" s="17" t="str">
        <x:v>access_notes</x:v>
      </x:c>
    </x:row>
    <x:row r="5">
      <x:c r="A5" s="142" t="str">
        <x:v>FAO_FS</x:v>
      </x:c>
      <x:c r="B5" s="142" t="str">
        <x:v>Food and Agriculture Organization of the United Nations</x:v>
      </x:c>
      <x:c r="C5" s="142" t="str">
        <x:v>FAOSTAT Suite of Food Security Indicators</x:v>
      </x:c>
      <x:c r="D5" s="142" t="str">
        <x:v>https://bulks-faostat.fao.org/production/Food_Security_Data_E_All_Data_(Normalized).zip</x:v>
      </x:c>
      <x:c r="E5" s="142" t="str">
        <x:v>Global, regional, and national</x:v>
      </x:c>
      <x:c r="F5" s="142" t="str">
        <x:v>Current bulk release retrieved 2026-08-22</x:v>
      </x:c>
      <x:c r="G5" s="143" t="n">
        <x:v>46257.17371527778</x:v>
      </x:c>
      <x:c r="H5" s="144" t="n">
        <x:v>2214673</x:v>
      </x:c>
      <x:c r="I5" s="142" t="str">
        <x:v>1ccced40d8e228693c6fcc5d172de9bcaa3a1c6a1581ebde345d71c1dfa9b692</x:v>
      </x:c>
      <x:c r="J5" s="142"/>
    </x:row>
    <x:row r="6">
      <x:c r="A6" s="142" t="str">
        <x:v>FAO_COAHD</x:v>
      </x:c>
      <x:c r="B6" s="142" t="str">
        <x:v>Food and Agriculture Organization of the United Nations</x:v>
      </x:c>
      <x:c r="C6" s="142" t="str">
        <x:v>FAOSTAT Cost and Affordability of a Healthy Diet</x:v>
      </x:c>
      <x:c r="D6" s="142" t="str">
        <x:v>https://bulks-faostat.fao.org/production/Cost_Affordability_Healthy_Diet_(CoAHD)_E_All_Data_(Normalized).zip</x:v>
      </x:c>
      <x:c r="E6" s="142" t="str">
        <x:v>Global, regional, and national</x:v>
      </x:c>
      <x:c r="F6" s="142" t="str">
        <x:v>July 2026 SOFI release</x:v>
      </x:c>
      <x:c r="G6" s="143" t="n">
        <x:v>46257.17371527778</x:v>
      </x:c>
      <x:c r="H6" s="144" t="n">
        <x:v>88131</x:v>
      </x:c>
      <x:c r="I6" s="142" t="str">
        <x:v>299e15188c24c69a7f5d488ccaee283ef4d99bba995bc6cf095b748134d35fd3</x:v>
      </x:c>
      <x:c r="J6" s="142"/>
    </x:row>
    <x:row r="7">
      <x:c r="A7" s="142" t="str">
        <x:v>USDA_SRAM_2025</x:v>
      </x:c>
      <x:c r="B7" s="142" t="str">
        <x:v>U.S. Department of Agriculture, Economic Research Service</x:v>
      </x:c>
      <x:c r="C7" s="142" t="str">
        <x:v>2025 SNAP-authorized Retailer Access Map</x:v>
      </x:c>
      <x:c r="D7" s="142" t="str">
        <x:v>https://www.ers.usda.gov/media/29395/2025-snap-authorized-retailer-access-map-sram-data.zip?v=25213</x:v>
      </x:c>
      <x:c r="E7" s="142" t="str">
        <x:v>2020 U.S. census tracts</x:v>
      </x:c>
      <x:c r="F7" s="142" t="str">
        <x:v>Retailers as of June 2025; released 2026-07-27</x:v>
      </x:c>
      <x:c r="G7" s="143" t="n">
        <x:v>46257.17371527778</x:v>
      </x:c>
      <x:c r="H7" s="144" t="n">
        <x:v>18935773</x:v>
      </x:c>
      <x:c r="I7" s="142" t="str">
        <x:v>8e8ccda55aa478dd5907050249c28157d445568d242db8b5f85231b82c8afdbf</x:v>
      </x:c>
      <x:c r="J7" s="142"/>
    </x:row>
    <x:row r="8">
      <x:c r="A8" s="142" t="str">
        <x:v>USDA_FOOD_SECURITY_CSV</x:v>
      </x:c>
      <x:c r="B8" s="142" t="str">
        <x:v>U.S. Department of Agriculture, Economic Research Service</x:v>
      </x:c>
      <x:c r="C8" s="142" t="str">
        <x:v>Food Security in the United States data files</x:v>
      </x:c>
      <x:c r="D8" s="142" t="str">
        <x:v>https://www.ers.usda.gov/media/799/food-security-csv-data-files.zip</x:v>
      </x:c>
      <x:c r="E8" s="142" t="str">
        <x:v>United States and states</x:v>
      </x:c>
      <x:c r="F8" s="142" t="str">
        <x:v>2024 annual; 2022-2024 state average</x:v>
      </x:c>
      <x:c r="G8" s="143" t="n">
        <x:v>46257.17371527778</x:v>
      </x:c>
      <x:c r="H8" s="144" t="n">
        <x:v>43725</x:v>
      </x:c>
      <x:c r="I8" s="142" t="str">
        <x:v>8c54f04ff49c89adf79d47f54c3a613e3eea0ac02e5b906d80a55b40716e28ce</x:v>
      </x:c>
      <x:c r="J8" s="142"/>
    </x:row>
    <x:row r="9">
      <x:c r="A9" s="142" t="str">
        <x:v>USDA_ERR_358</x:v>
      </x:c>
      <x:c r="B9" s="142" t="str">
        <x:v>U.S. Department of Agriculture, Economic Research Service</x:v>
      </x:c>
      <x:c r="C9" s="142" t="str">
        <x:v>Household Food Security in the United States in 2024 (ERR-358)</x:v>
      </x:c>
      <x:c r="D9" s="142" t="str">
        <x:v>https://ers.usda.gov/sites/default/files/_laserfiche/publications/113623/ERR-358.pdf</x:v>
      </x:c>
      <x:c r="E9" s="142" t="str">
        <x:v>United States and states</x:v>
      </x:c>
      <x:c r="F9" s="142" t="str">
        <x:v>Published 2025; state estimates average 2022-2024</x:v>
      </x:c>
      <x:c r="G9" s="143" t="n">
        <x:v>46257.17371527778</x:v>
      </x:c>
      <x:c r="H9" s="144" t="n">
        <x:v>1017042</x:v>
      </x:c>
      <x:c r="I9" s="142" t="str">
        <x:v>dfe19c73cd5fbaa08a2dec52768690c968892150153806fec83038d3dac0adf7</x:v>
      </x:c>
      <x:c r="J9" s="142"/>
    </x:row>
    <x:row r="10">
      <x:c r="A10" s="142" t="str">
        <x:v>CENSUS_TRACTS_AL_2020</x:v>
      </x:c>
      <x:c r="B10" s="142" t="str">
        <x:v>U.S. Census Bureau</x:v>
      </x:c>
      <x:c r="C10" s="142" t="str">
        <x:v>2020 Alabama cartographic census tract boundaries, 1:500,000</x:v>
      </x:c>
      <x:c r="D10" s="142" t="str">
        <x:v>https://www2.census.gov/geo/tiger/GENZ2020/shp/cb_2020_01_tract_500k.zip</x:v>
      </x:c>
      <x:c r="E10" s="142" t="str">
        <x:v>Alabama 2020 census tracts</x:v>
      </x:c>
      <x:c r="F10" s="142" t="str">
        <x:v>2020</x:v>
      </x:c>
      <x:c r="G10" s="143" t="n">
        <x:v>46257.17371527778</x:v>
      </x:c>
      <x:c r="H10" s="144" t="n">
        <x:v>1733838</x:v>
      </x:c>
      <x:c r="I10" s="142" t="str">
        <x:v>2afda84e3d126e8f3fea3f678d41992889117e0b86092e96d367702c6ce57c9b</x:v>
      </x:c>
      <x:c r="J10" s="142"/>
    </x:row>
    <x:row r="11">
      <x:c r="A11" s="142" t="str">
        <x:v>FEEDING_AMERICA_MMG_2026</x:v>
      </x:c>
      <x:c r="B11" s="142" t="str">
        <x:v>Feeding America National Organization</x:v>
      </x:c>
      <x:c r="C11" s="142" t="str">
        <x:v>Map the Meal Gap 2026: local food insecurity and food costs in 2024</x:v>
      </x:c>
      <x:c r="D11" s="142" t="str">
        <x:v>https://www.feedingamerica.org/research/map-the-meal-gap/by-county</x:v>
      </x:c>
      <x:c r="E11" s="142" t="str">
        <x:v>U.S. county, congressional district, and state; Alabama county and state extracts retained</x:v>
      </x:c>
      <x:c r="F11" s="142" t="str">
        <x:v>2024 observation year; file updated 2026-07-28; corrected 2023 county estimates included</x:v>
      </x:c>
      <x:c r="G11" s="143" t="n">
        <x:v>46263.751076388886</x:v>
      </x:c>
      <x:c r="H11" s="144" t="n">
        <x:v>12181194</x:v>
      </x:c>
      <x:c r="I11" s="142" t="str">
        <x:v>88b6d839860121c295ece955a2aa88bfa856c4ee452ae05403c168c3975d492a</x:v>
      </x:c>
      <x:c r="J11" s="142" t="str">
        <x:v>Official request workflow; no explicit redistribution license in archive. Raw package excluded from GitHub; selected Alabama extracts, metadata, and citations published.</x:v>
      </x:c>
    </x:row>
    <x:row r="12">
      <x:c r="A12" s="142" t="str">
        <x:v>TEAM_STORY_SANDRA_2026</x:v>
      </x:c>
      <x:c r="B12" s="142" t="str">
        <x:v>Sandra Kopecky</x:v>
      </x:c>
      <x:c r="C12" s="142" t="str">
        <x:v>WomenInData Data Stats and Summary - Story</x:v>
      </x:c>
      <x:c r="D12" s="142"/>
      <x:c r="E12" s="142" t="str">
        <x:v>Global, U.S., U.S. regions, project-defined Southeast, Alabama counties, and Alabama story regions</x:v>
      </x:c>
      <x:c r="F12" s="142" t="str">
        <x:v>Team synthesis received 2026-08-29; underlying sources retain their own vintages</x:v>
      </x:c>
      <x:c r="G12" s="143" t="n">
        <x:v>46263.777650462966</x:v>
      </x:c>
      <x:c r="H12" s="144" t="n">
        <x:v>2409225</x:v>
      </x:c>
      <x:c r="I12" s="142" t="str">
        <x:v>3f4a02393c00218350cb63637c0cc20a5866f18eb7cabd69089c159c3af8f3e4</x:v>
      </x:c>
      <x:c r="J12" s="142" t="str">
        <x:v>Contributor-authored team synthesis by Sandra Kopecky. Use validated source tables for final claims; explanatory driver labels require direct supporting citations.</x:v>
      </x:c>
    </x:row>
  </x:sheetData>
  <x:mergeCells>
    <x:mergeCell ref="A1:J1"/>
    <x:mergeCell ref="A2:J2"/>
  </x:mergeCells>
  <x:pageMargins left="0.7" right="0.7" top="0.75" bottom="0.75" header="0.3" footer="0.3"/>
  <x:tableParts count="1">
    <x:tablePart xmlns:r="http://schemas.openxmlformats.org/officeDocument/2006/relationships" r:id="R26c4c5abd74e45ac"/>
  </x:tableParts>
</x:worksheet>
</file>